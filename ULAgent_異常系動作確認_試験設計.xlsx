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NewKatsu\Downloads\"/>
    </mc:Choice>
  </mc:AlternateContent>
  <xr:revisionPtr revIDLastSave="0" documentId="13_ncr:1_{EE2134D6-E5CF-4A56-8F52-ECEA1495382A}" xr6:coauthVersionLast="47" xr6:coauthVersionMax="47" xr10:uidLastSave="{00000000-0000-0000-0000-000000000000}"/>
  <bookViews>
    <workbookView xWindow="-120" yWindow="-120" windowWidth="29040" windowHeight="15720" xr2:uid="{00000000-000D-0000-FFFF-FFFF00000000}"/>
  </bookViews>
  <sheets>
    <sheet name="試験項目一覧" sheetId="1" r:id="rId1"/>
    <sheet name="集計" sheetId="2" r:id="rId2"/>
    <sheet name="対象定義" sheetId="3" r:id="rId3"/>
    <sheet name="横断シナリオ"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 i="2" l="1"/>
  <c r="C11" i="2"/>
  <c r="B11" i="2"/>
  <c r="D10" i="2"/>
  <c r="C10" i="2"/>
  <c r="B10" i="2"/>
  <c r="D9" i="2"/>
  <c r="C9" i="2"/>
  <c r="B9" i="2"/>
  <c r="D8" i="2"/>
  <c r="C8" i="2"/>
  <c r="B8" i="2"/>
  <c r="D7" i="2"/>
  <c r="C7" i="2"/>
  <c r="B7" i="2"/>
  <c r="D6" i="2"/>
  <c r="C6" i="2"/>
  <c r="B6" i="2"/>
  <c r="D5" i="2"/>
  <c r="C5" i="2"/>
  <c r="B5" i="2"/>
  <c r="D4" i="2"/>
  <c r="C4" i="2"/>
  <c r="B4" i="2"/>
  <c r="D3" i="2"/>
  <c r="C3" i="2"/>
  <c r="B3" i="2"/>
  <c r="D2" i="2"/>
  <c r="C2" i="2"/>
  <c r="B2" i="2"/>
</calcChain>
</file>

<file path=xl/sharedStrings.xml><?xml version="1.0" encoding="utf-8"?>
<sst xmlns="http://schemas.openxmlformats.org/spreadsheetml/2006/main" count="2484" uniqueCount="1230">
  <si>
    <t>No.</t>
  </si>
  <si>
    <t>試験ID</t>
  </si>
  <si>
    <t>対象</t>
  </si>
  <si>
    <t>対象ドキュメント箇所</t>
  </si>
  <si>
    <t>分類</t>
  </si>
  <si>
    <t>試験項目</t>
  </si>
  <si>
    <t>なぜ必要か</t>
  </si>
  <si>
    <t>前提条件</t>
  </si>
  <si>
    <t>手順</t>
  </si>
  <si>
    <t>期待結果</t>
  </si>
  <si>
    <t>確認箇所</t>
  </si>
  <si>
    <t>復旧確認</t>
  </si>
  <si>
    <t>優先順位</t>
  </si>
  <si>
    <t>実施可否（暫定）</t>
  </si>
  <si>
    <t>必要手段・環境</t>
  </si>
  <si>
    <t>要仕様確認事項</t>
  </si>
  <si>
    <t>備考</t>
  </si>
  <si>
    <t>実施結果</t>
  </si>
  <si>
    <t>判定</t>
  </si>
  <si>
    <t>B-001</t>
  </si>
  <si>
    <t>B</t>
  </si>
  <si>
    <t>欠損</t>
  </si>
  <si>
    <t>SAMPLINGファイルのみ未生成</t>
  </si>
  <si>
    <t>3ファイル前提の処理で欠損時の誤送信・待ち続け・取りこぼしを防ぐため。</t>
  </si>
  <si>
    <t>監視フォルダは正常。残り2種のファイルは正常に配置する。</t>
  </si>
  <si>
    <t>欠損ファイルを正常取得扱いにせず、存在するファイルの扱いが仕様どおりである。異常や待機状態が識別可能である。</t>
  </si>
  <si>
    <t>Sender状態、SQLite、Serilog、監視フォルダ</t>
  </si>
  <si>
    <t>異常条件を解除後、通常処理へ復帰することを確認する。</t>
  </si>
  <si>
    <t>P1</t>
  </si>
  <si>
    <t>実施可</t>
  </si>
  <si>
    <t>3ファイルを1セットとして扱うか、各ファイル独立処理か。</t>
  </si>
  <si>
    <t>B-002</t>
  </si>
  <si>
    <t>EVENTファイルのみ未生成</t>
  </si>
  <si>
    <t>B-003</t>
  </si>
  <si>
    <t>PROCESSファイルのみ未生成</t>
  </si>
  <si>
    <t>B-004</t>
  </si>
  <si>
    <t>到着順</t>
  </si>
  <si>
    <t>3ファイルを通常と異なる順番で配置</t>
  </si>
  <si>
    <t>ファイル生成順に依存していると取りこぼしや誤関連付けが起きるため。</t>
  </si>
  <si>
    <t>3種類の正常ファイルを準備する。</t>
  </si>
  <si>
    <t>到着順に依存せず対象ファイルを正しく認識し、重複・欠落なく処理する。</t>
  </si>
  <si>
    <t>監視フォルダ、Sender SQLite、Serilog</t>
  </si>
  <si>
    <t>B-005</t>
  </si>
  <si>
    <t>遅延</t>
  </si>
  <si>
    <t>1ファイルだけ大幅に遅れて配置</t>
  </si>
  <si>
    <t>生成遅延時の待機・タイムアウト・後追い取得を確認するため。</t>
  </si>
  <si>
    <t>2ファイルを先に配置する。</t>
  </si>
  <si>
    <t>遅延ファイルが後から正しく取得され、先行ファイルとの状態整合が崩れない。</t>
  </si>
  <si>
    <t>Sender SQLite、Serilog、監視フォルダ</t>
  </si>
  <si>
    <t>セット待機時間・タイムアウト仕様。</t>
  </si>
  <si>
    <t>B-006</t>
  </si>
  <si>
    <t>異常入力</t>
  </si>
  <si>
    <t>書込み途中のファイルを検出</t>
  </si>
  <si>
    <t>生成中ファイルを取得すると欠損データ送信につながるため。</t>
  </si>
  <si>
    <t>Sender監視が稼働している。</t>
  </si>
  <si>
    <t>書込み完了前のファイルを確定ファイルとして扱わない、または仕様どおり安全に扱う。</t>
  </si>
  <si>
    <t>監視フォルダ、Sender状態、SQLite、Serilog</t>
  </si>
  <si>
    <t>条件付き</t>
  </si>
  <si>
    <t>低速コピー/生成スクリプト</t>
  </si>
  <si>
    <t>ファイル完成判定方式。</t>
  </si>
  <si>
    <t>B-007</t>
  </si>
  <si>
    <t>0 byteファイル</t>
  </si>
  <si>
    <t>空ファイルを正常データとして扱わないことを確認するため。</t>
  </si>
  <si>
    <t>0 byteを正常データとして誤登録せず、異常または対象外として識別できる。</t>
  </si>
  <si>
    <t>0 byte許容有無。</t>
  </si>
  <si>
    <t>B-008</t>
  </si>
  <si>
    <t>極端に小さい不完全ファイル</t>
  </si>
  <si>
    <t>形式上は存在するが内容不足のケースを確認するため。</t>
  </si>
  <si>
    <t>不完全データが正常完了扱いにならず、後続で失敗しても状態が追跡可能である。</t>
  </si>
  <si>
    <t>P2</t>
  </si>
  <si>
    <t>Senderが内容検証する範囲。</t>
  </si>
  <si>
    <t>B-009</t>
  </si>
  <si>
    <t>大容量ファイル</t>
  </si>
  <si>
    <t>サイズ増大時の読込・転送準備・メモリ消費を確認するため。</t>
  </si>
  <si>
    <t>ハング・異常終了せず、上限超過時は明確に失敗扱いとなる。</t>
  </si>
  <si>
    <t>大容量テストファイル</t>
  </si>
  <si>
    <t>最大ファイルサイズ。</t>
  </si>
  <si>
    <t>B-010</t>
  </si>
  <si>
    <t>ファイル名不正</t>
  </si>
  <si>
    <t>監視対象判定の誤検知を防ぐため。</t>
  </si>
  <si>
    <t>対象外ファイルを誤取得しない。</t>
  </si>
  <si>
    <t>正式な命名規則。</t>
  </si>
  <si>
    <t>B-011</t>
  </si>
  <si>
    <t>拡張子不正</t>
  </si>
  <si>
    <t>誤形式ファイルの取り込みを防ぐため。</t>
  </si>
  <si>
    <t>対象外として扱い、正常対象へ影響しない。</t>
  </si>
  <si>
    <t>許容拡張子一覧。</t>
  </si>
  <si>
    <t>B-012</t>
  </si>
  <si>
    <t>同名ファイル再配置</t>
  </si>
  <si>
    <t>再生成・再投入時の重複処理を確認するため。</t>
  </si>
  <si>
    <t>重複送信の扱いが仕様どおりで、履歴が矛盾しない。</t>
  </si>
  <si>
    <t>重複判定キー。</t>
  </si>
  <si>
    <t>B-013</t>
  </si>
  <si>
    <t>想定外ファイル混在</t>
  </si>
  <si>
    <t>監視フォルダのノイズに対する耐性確認のため。</t>
  </si>
  <si>
    <t>想定外ファイルを無視し、正常対象だけ処理する。</t>
  </si>
  <si>
    <t>無視対象・エラー対象の規定。</t>
  </si>
  <si>
    <t>B-014</t>
  </si>
  <si>
    <t>ファイルロック中</t>
  </si>
  <si>
    <t>他プロセス使用中のアクセス失敗時挙動を確認するため。</t>
  </si>
  <si>
    <t>異常終了やファイル破損を起こさず、解除後に再取得できる。</t>
  </si>
  <si>
    <t>排他ロック用ツール/スクリプト</t>
  </si>
  <si>
    <t>再試行間隔・回数。</t>
  </si>
  <si>
    <t>B-015</t>
  </si>
  <si>
    <t>読取権限なし</t>
  </si>
  <si>
    <t>アクセス権異常時の例外処理確認のため。</t>
  </si>
  <si>
    <t>アクセス失敗を識別可能に記録し、プロセスが不正終了しない。</t>
  </si>
  <si>
    <t>OS権限変更</t>
  </si>
  <si>
    <t>サービス実行ユーザー権限。</t>
  </si>
  <si>
    <t>B-016</t>
  </si>
  <si>
    <t>監視フォルダ不存在</t>
  </si>
  <si>
    <t>設定先削除・マウント切れなどを想定するため。</t>
  </si>
  <si>
    <t>フォルダ不存在を検出し、無限例外や異常終了を起こさない。</t>
  </si>
  <si>
    <t>フォルダ操作権限</t>
  </si>
  <si>
    <t>自動再作成の有無。</t>
  </si>
  <si>
    <t>B-017</t>
  </si>
  <si>
    <t>監視フォルダアクセス拒否</t>
  </si>
  <si>
    <t>フォルダ権限変更時の挙動確認のため。</t>
  </si>
  <si>
    <t>アクセス拒否を明確に扱い、復旧後に監視を再開できる。</t>
  </si>
  <si>
    <t>監視再開仕様。</t>
  </si>
  <si>
    <t>B-018</t>
  </si>
  <si>
    <t>大量ファイル一括投入</t>
  </si>
  <si>
    <t>短時間に多数生成された際の取りこぼし・キュー滞留を確認するため。</t>
  </si>
  <si>
    <t>欠落・重複なく処理し、処理不能時は明確な状態が残る。</t>
  </si>
  <si>
    <t>大量データ生成</t>
  </si>
  <si>
    <t>同時/最大キュー数。</t>
  </si>
  <si>
    <t>B-019</t>
  </si>
  <si>
    <t>取得直前にファイル削除</t>
  </si>
  <si>
    <t>検出後と読込開始の競合を確認するため。</t>
  </si>
  <si>
    <t>FileNotFound等で異常終了せず、状態が識別可能である。</t>
  </si>
  <si>
    <t>タイミング制御スクリプト</t>
  </si>
  <si>
    <t>再試行仕様。</t>
  </si>
  <si>
    <t>B-020</t>
  </si>
  <si>
    <t>取得中にファイル置換</t>
  </si>
  <si>
    <t>TOCTOU競合で別内容を送信しないことを確認するため。</t>
  </si>
  <si>
    <t>破損・内容混在を起こさず、一貫したファイル単位で扱う。</t>
  </si>
  <si>
    <t>大容量ファイル/置換スクリプト</t>
  </si>
  <si>
    <t>ファイル占有・コピー方式。</t>
  </si>
  <si>
    <t>B-021</t>
  </si>
  <si>
    <t>長いファイル名/パス</t>
  </si>
  <si>
    <t>OSパス長境界で例外になる可能性があるため。</t>
  </si>
  <si>
    <t>サポート範囲内は正常処理し、範囲外は明確に失敗する。</t>
  </si>
  <si>
    <t>P3</t>
  </si>
  <si>
    <t>長いパス生成</t>
  </si>
  <si>
    <t>最大パス長。</t>
  </si>
  <si>
    <t>C-001</t>
  </si>
  <si>
    <t>C</t>
  </si>
  <si>
    <t>図C：TLS gRPC通信／Sender→Receiverファイル転送</t>
  </si>
  <si>
    <t>接続異常</t>
  </si>
  <si>
    <t>Receiver停止状態で送信開始</t>
  </si>
  <si>
    <t>送信先停止時の失敗検知・再送を確認するため。</t>
  </si>
  <si>
    <t>Sender/Receiverは通常時に通信可能。</t>
  </si>
  <si>
    <t>接続失敗が検知され、送信済み誤判定をせず、再試行/失敗状態が追跡可能。</t>
  </si>
  <si>
    <t>Sender/Receiverログ、Sender SQLite、Receiver受信状態</t>
  </si>
  <si>
    <t>Receiverサービス操作</t>
  </si>
  <si>
    <t>再試行回数・間隔</t>
  </si>
  <si>
    <t>C-002</t>
  </si>
  <si>
    <t>ネットワーク</t>
  </si>
  <si>
    <t>送信開始前にネットワーク切断</t>
  </si>
  <si>
    <t>通信経路断時にデータを失わないことを確認するため。</t>
  </si>
  <si>
    <t>送信成功扱いにせず、復旧後に仕様どおり再送可能。</t>
  </si>
  <si>
    <t>NIC無効化/Firewall</t>
  </si>
  <si>
    <t>再送条件</t>
  </si>
  <si>
    <t>C-003</t>
  </si>
  <si>
    <t>送信途中でネットワーク切断</t>
  </si>
  <si>
    <t>部分送信時の整合性を確認するため。</t>
  </si>
  <si>
    <t>Receiver側に不完全ファイルを正常登録せず、Sender側も成功扱いにしない。</t>
  </si>
  <si>
    <t>大容量ファイル/NIC制御</t>
  </si>
  <si>
    <t>中断ファイルの後処理</t>
  </si>
  <si>
    <t>C-004</t>
  </si>
  <si>
    <t>応答欠落</t>
  </si>
  <si>
    <t>Receiver受信後・ACK相当前に通信断</t>
  </si>
  <si>
    <t>受信済みだがSenderが成功を認識できない場合の重複を確認するため。</t>
  </si>
  <si>
    <t>再送されても重複登録/重複表示が仕様どおり防止または識別される。</t>
  </si>
  <si>
    <t>ネットワーク制御/ログ時刻照合</t>
  </si>
  <si>
    <t>ACK/重複排除方式</t>
  </si>
  <si>
    <t>C-005</t>
  </si>
  <si>
    <t>高遅延環境で送信</t>
  </si>
  <si>
    <t>タイムアウト境界で誤失敗や重複再送が起きないか確認するため。</t>
  </si>
  <si>
    <t>タイムアウトまでは正常継続し、超過時は明確な失敗・再試行状態となる。</t>
  </si>
  <si>
    <t>遅延付与ツール</t>
  </si>
  <si>
    <t>gRPCタイムアウト値</t>
  </si>
  <si>
    <t>C-006</t>
  </si>
  <si>
    <t>パケット損失</t>
  </si>
  <si>
    <t>通信品質劣化</t>
  </si>
  <si>
    <t>一時的なパケット損失時のgRPC/TCP回復性を確認するため。</t>
  </si>
  <si>
    <t>データ破損なく、失敗時も状態が追跡可能。</t>
  </si>
  <si>
    <t>ネットワークエミュレータ</t>
  </si>
  <si>
    <t>許容損失/タイムアウト</t>
  </si>
  <si>
    <t>C-007</t>
  </si>
  <si>
    <t>帯域制限</t>
  </si>
  <si>
    <t>極低速回線</t>
  </si>
  <si>
    <t>長時間転送時のタイムアウト・リソース影響を確認するため。</t>
  </si>
  <si>
    <t>ハングせず、成功/失敗が明確。</t>
  </si>
  <si>
    <t>帯域制御</t>
  </si>
  <si>
    <t>最大許容転送時間</t>
  </si>
  <si>
    <t>C-008</t>
  </si>
  <si>
    <t>TLS</t>
  </si>
  <si>
    <t>サーバ証明書期限切れ</t>
  </si>
  <si>
    <t>TLS安全性と失敗処理を確認するため。</t>
  </si>
  <si>
    <t>TLS接続を拒否し、平文等へフォールバックしない。</t>
  </si>
  <si>
    <t>テスト証明書</t>
  </si>
  <si>
    <t>証明書運用方式</t>
  </si>
  <si>
    <t>C-009</t>
  </si>
  <si>
    <t>信頼されない証明書</t>
  </si>
  <si>
    <t>不正な接続先を受け入れないことを確認するため。</t>
  </si>
  <si>
    <t>TLS接続を拒否し、失敗理由を確認できる。</t>
  </si>
  <si>
    <t>信頼ストア構成</t>
  </si>
  <si>
    <t>C-010</t>
  </si>
  <si>
    <t>ホスト名不一致証明書</t>
  </si>
  <si>
    <t>MITM/誤接続防止のため。</t>
  </si>
  <si>
    <t>証明書検証で接続を拒否する。</t>
  </si>
  <si>
    <t>ホスト名検証有無</t>
  </si>
  <si>
    <t>C-011</t>
  </si>
  <si>
    <t>TLSハンドシェイク途中失敗</t>
  </si>
  <si>
    <t>セッション確立失敗時の状態管理確認のため。</t>
  </si>
  <si>
    <t>送信済み扱いにならず、明確に接続失敗となる。</t>
  </si>
  <si>
    <t>サービス/通信制御</t>
  </si>
  <si>
    <t>再接続仕様</t>
  </si>
  <si>
    <t>C-012</t>
  </si>
  <si>
    <t>接続先</t>
  </si>
  <si>
    <t>gRPCポート閉塞</t>
  </si>
  <si>
    <t>FW設定ミスを想定するため。</t>
  </si>
  <si>
    <t>接続失敗を検出し、Senderが不正終了しない。</t>
  </si>
  <si>
    <t>Firewall</t>
  </si>
  <si>
    <t>接続リトライ仕様</t>
  </si>
  <si>
    <t>C-013</t>
  </si>
  <si>
    <t>誤った宛先設定</t>
  </si>
  <si>
    <t>設定ミスによる誤送信・長時間待ちを確認するため。</t>
  </si>
  <si>
    <t>送信失敗を明確にし、誤送信を防ぐ。</t>
  </si>
  <si>
    <t>設定変更</t>
  </si>
  <si>
    <t>設定変更可否</t>
  </si>
  <si>
    <t>C-014</t>
  </si>
  <si>
    <t>再送</t>
  </si>
  <si>
    <t>連続失敗で再送上限到達</t>
  </si>
  <si>
    <t>無限再試行・負荷増大を防ぐため。</t>
  </si>
  <si>
    <t>上限到達後の状態が仕様どおりで、履歴が追跡可能。</t>
  </si>
  <si>
    <t>Receiver停止</t>
  </si>
  <si>
    <t>再送回数/バックオフ</t>
  </si>
  <si>
    <t>C-015</t>
  </si>
  <si>
    <t>通信復旧後の自動再送</t>
  </si>
  <si>
    <t>一時障害後のデータ回収性を確認するため。</t>
  </si>
  <si>
    <t>未送信分が仕様どおり再送され、重複なしで完了する。</t>
  </si>
  <si>
    <t>NIC/Firewall</t>
  </si>
  <si>
    <t>自動/手動再送条件</t>
  </si>
  <si>
    <t>C-016</t>
  </si>
  <si>
    <t>再起動</t>
  </si>
  <si>
    <t>Sender送信中にプロセス再起動</t>
  </si>
  <si>
    <t>送信途中のクラッシュ復旧を確認するため。</t>
  </si>
  <si>
    <t>処理状態が矛盾せず、再起動後に未完了ファイルを安全に扱う。</t>
  </si>
  <si>
    <t>サービス制御</t>
  </si>
  <si>
    <t>起動時リカバリ</t>
  </si>
  <si>
    <t>C-017</t>
  </si>
  <si>
    <t>Receiver受信中にプロセス再起動</t>
  </si>
  <si>
    <t>受信途中ファイルの扱いを確認するため。</t>
  </si>
  <si>
    <t>不完全受信を正常完了扱いせず、再送後に整合する。</t>
  </si>
  <si>
    <t>一時ファイル管理</t>
  </si>
  <si>
    <t>C-018</t>
  </si>
  <si>
    <t>並行</t>
  </si>
  <si>
    <t>3ファイル同時送信</t>
  </si>
  <si>
    <t>並行処理時の順序・競合を確認するため。</t>
  </si>
  <si>
    <t>欠落・混在・状態競合なく各ファイルを識別して送信する。</t>
  </si>
  <si>
    <t>並列度</t>
  </si>
  <si>
    <t>C-019</t>
  </si>
  <si>
    <t>大量ファイル連続送信</t>
  </si>
  <si>
    <t>キュー滞留・接続枯渇を確認するため。</t>
  </si>
  <si>
    <t>キューが破綻せず、処理不能時も状態が明確。</t>
  </si>
  <si>
    <t>大量データ</t>
  </si>
  <si>
    <t>最大キュー/並列数</t>
  </si>
  <si>
    <t>C-020</t>
  </si>
  <si>
    <t>整合性</t>
  </si>
  <si>
    <t>送信ファイル内容を途中で改変</t>
  </si>
  <si>
    <t>送信元内容の一貫性を確認するため。</t>
  </si>
  <si>
    <t>受信データが混在/破損しない。</t>
  </si>
  <si>
    <t>ファイル改変スクリプト</t>
  </si>
  <si>
    <t>送信時スナップショット方式</t>
  </si>
  <si>
    <t>C-021</t>
  </si>
  <si>
    <t>上限</t>
  </si>
  <si>
    <t>gRPCメッセージ/ストリーム上限超過</t>
  </si>
  <si>
    <t>サイズ制限時の明確な失敗を確認するため。</t>
  </si>
  <si>
    <t>上限超過が明確に失敗扱いとなり、再送ループしない。</t>
  </si>
  <si>
    <t>gRPC最大サイズ</t>
  </si>
  <si>
    <t>C-022</t>
  </si>
  <si>
    <t>互換性</t>
  </si>
  <si>
    <t>Sender/Receiver設定・バージョン不整合</t>
  </si>
  <si>
    <t>将来の更新差分で不正処理しないため。</t>
  </si>
  <si>
    <t>非互換時は安全に失敗し、誤解釈しない。</t>
  </si>
  <si>
    <t>異なるビルド/設定</t>
  </si>
  <si>
    <t>互換性ポリシー</t>
  </si>
  <si>
    <t>D-001</t>
  </si>
  <si>
    <t>D</t>
  </si>
  <si>
    <t>図D：Sender側SQLite／送信状態・履歴管理</t>
  </si>
  <si>
    <t>DBアクセス</t>
  </si>
  <si>
    <t>SQLiteファイルが存在しない</t>
  </si>
  <si>
    <t>DB再生成/異常検知の仕様を確認するため。</t>
  </si>
  <si>
    <t>SenderのSQLiteをバックアップ済み。</t>
  </si>
  <si>
    <t>DB不存在時の挙動が仕様どおりで、送信履歴を誤記録しない。</t>
  </si>
  <si>
    <t>Sender SQLite、Sender Serilog、Receiver受信実態</t>
  </si>
  <si>
    <t>DBバックアップ</t>
  </si>
  <si>
    <t>自動生成有無</t>
  </si>
  <si>
    <t>D-002</t>
  </si>
  <si>
    <t>SQLiteを読取専用にする</t>
  </si>
  <si>
    <t>状態更新不能時の処理を確認するため。</t>
  </si>
  <si>
    <t>更新失敗を検出し、送信状態とDB状態が不整合のまま隠れない。</t>
  </si>
  <si>
    <t>ファイル属性/ACL</t>
  </si>
  <si>
    <t>DB更新失敗時の送信継続可否</t>
  </si>
  <si>
    <t>D-003</t>
  </si>
  <si>
    <t>DBロック</t>
  </si>
  <si>
    <t>SQLite排他ロック</t>
  </si>
  <si>
    <t>ロック競合時のタイムアウト/再試行確認。</t>
  </si>
  <si>
    <t>無限待ちせず、再試行または明確に失敗する。</t>
  </si>
  <si>
    <t>SQLiteロック用ツール</t>
  </si>
  <si>
    <t>busy timeout</t>
  </si>
  <si>
    <t>D-004</t>
  </si>
  <si>
    <t>DB破損</t>
  </si>
  <si>
    <t>SQLiteファイル破損</t>
  </si>
  <si>
    <t>破損DBで履歴を失わず安全停止できるか確認。</t>
  </si>
  <si>
    <t>破損を検出し、不正な更新やクラッシュループを起こさない。</t>
  </si>
  <si>
    <t>DBバックアップ/破損コピー</t>
  </si>
  <si>
    <t>破損時復旧方法</t>
  </si>
  <si>
    <t>D-005</t>
  </si>
  <si>
    <t>容量</t>
  </si>
  <si>
    <t>ディスク空き容量不足</t>
  </si>
  <si>
    <t>DB書込途中の失敗・OS影響を確認するため。</t>
  </si>
  <si>
    <t>書込失敗が識別でき、DBが破損しない。</t>
  </si>
  <si>
    <t>容量制限可能なテスト環境</t>
  </si>
  <si>
    <t>最低空き容量</t>
  </si>
  <si>
    <t>D-006</t>
  </si>
  <si>
    <t>トランザクション</t>
  </si>
  <si>
    <t>状態更新途中にSender強制終了</t>
  </si>
  <si>
    <t>原子性・再起動時整合性を確認するため。</t>
  </si>
  <si>
    <t>中途半端な状態を残さず、再起動時に未完了を識別できる。</t>
  </si>
  <si>
    <t>プロセス制御</t>
  </si>
  <si>
    <t>トランザクション境界</t>
  </si>
  <si>
    <t>D-007</t>
  </si>
  <si>
    <t>重複</t>
  </si>
  <si>
    <t>同一ファイルの履歴重複登録</t>
  </si>
  <si>
    <t>再送時の履歴重複/一意性確認。</t>
  </si>
  <si>
    <t>履歴が仕様どおり追記/更新され、矛盾しない。</t>
  </si>
  <si>
    <t>一意キー/履歴方式</t>
  </si>
  <si>
    <t>D-008</t>
  </si>
  <si>
    <t>状態遷移</t>
  </si>
  <si>
    <t>送信失敗→再送成功</t>
  </si>
  <si>
    <t>状態遷移の正確性確認。</t>
  </si>
  <si>
    <t>失敗→再送→成功の履歴/最終状態が追跡可能。</t>
  </si>
  <si>
    <t>状態遷移定義</t>
  </si>
  <si>
    <t>D-009</t>
  </si>
  <si>
    <t>送信成功後にDB更新だけ失敗</t>
  </si>
  <si>
    <t>実処理と管理DBの乖離を確認するため。</t>
  </si>
  <si>
    <t>実受信とDB記録の不整合を検出・復旧可能である。</t>
  </si>
  <si>
    <t>タイミング制御/DBロック</t>
  </si>
  <si>
    <t>送信とDB更新の順序</t>
  </si>
  <si>
    <t>D-010</t>
  </si>
  <si>
    <t>時刻</t>
  </si>
  <si>
    <t>OS時刻を前後に変更</t>
  </si>
  <si>
    <t>履歴時刻の逆転・再送判定への影響確認。</t>
  </si>
  <si>
    <t>履歴が破綻せず、時刻変更が識別可能または仕様どおり扱われる。</t>
  </si>
  <si>
    <t>時刻変更可能な隔離環境</t>
  </si>
  <si>
    <t>時刻源/UTC・ローカル</t>
  </si>
  <si>
    <t>D-011</t>
  </si>
  <si>
    <t>スキーマ</t>
  </si>
  <si>
    <t>DBスキーマ不整合</t>
  </si>
  <si>
    <t>更新漏れ/古いDB利用時の安全性確認。</t>
  </si>
  <si>
    <t>非互換を検知し、誤った列へ書込まない。</t>
  </si>
  <si>
    <t>テストDB</t>
  </si>
  <si>
    <t>マイグレーション仕様</t>
  </si>
  <si>
    <t>D-012</t>
  </si>
  <si>
    <t>データ長</t>
  </si>
  <si>
    <t>エラー詳細が極端に長い</t>
  </si>
  <si>
    <t>例外メッセージ等によるDB格納失敗確認。</t>
  </si>
  <si>
    <t>切捨て/格納が仕様どおりでDB更新全体を壊さない。</t>
  </si>
  <si>
    <t>異常応答生成</t>
  </si>
  <si>
    <t>列長制限</t>
  </si>
  <si>
    <t>D-013</t>
  </si>
  <si>
    <t>複数送信状態の同時更新</t>
  </si>
  <si>
    <t>DB競合・取り違え確認。</t>
  </si>
  <si>
    <t>各ファイルの状態が混在せず正しく記録される。</t>
  </si>
  <si>
    <t>並列更新方式</t>
  </si>
  <si>
    <t>D-014</t>
  </si>
  <si>
    <t>保持</t>
  </si>
  <si>
    <t>履歴件数が大量に蓄積</t>
  </si>
  <si>
    <t>DB肥大化時の性能/上限確認。</t>
  </si>
  <si>
    <t>極端な遅延や書込失敗なく、上限時は仕様どおり。</t>
  </si>
  <si>
    <t>履歴保持/削除ポリシー</t>
  </si>
  <si>
    <t>D-015</t>
  </si>
  <si>
    <t>復旧</t>
  </si>
  <si>
    <t>DB障害解除後の処理再開</t>
  </si>
  <si>
    <t>一時DB障害後の回復性確認。</t>
  </si>
  <si>
    <t>DB状態と送信実態が最終的に整合する。</t>
  </si>
  <si>
    <t>DB/ACL操作</t>
  </si>
  <si>
    <t>自動復旧条件</t>
  </si>
  <si>
    <t>E-001</t>
  </si>
  <si>
    <t>E</t>
  </si>
  <si>
    <t>図E：Sender側Serilog／B・C処理ログ出力</t>
  </si>
  <si>
    <t>出力先</t>
  </si>
  <si>
    <t>ログフォルダ不存在</t>
  </si>
  <si>
    <t>ログ出力先障害でSender本体が落ちないか確認。</t>
  </si>
  <si>
    <t>Sender処理ログの通常出力を確認済み。</t>
  </si>
  <si>
    <t>ログ出力失敗時の挙動が仕様どおりで、処理状態が不明にならない。</t>
  </si>
  <si>
    <t>Sender Serilog、Senderプロセス状態、SQLite</t>
  </si>
  <si>
    <t>フォルダ操作</t>
  </si>
  <si>
    <t>自動作成/失敗時挙動</t>
  </si>
  <si>
    <t>E-002</t>
  </si>
  <si>
    <t>権限</t>
  </si>
  <si>
    <t>ログ書込権限なし</t>
  </si>
  <si>
    <t>権限変更時の例外処理確認。</t>
  </si>
  <si>
    <t>ログ失敗を安全に扱い、Senderがクラッシュループしない。</t>
  </si>
  <si>
    <t>ACL変更</t>
  </si>
  <si>
    <t>ログ失敗時の代替通知</t>
  </si>
  <si>
    <t>E-003</t>
  </si>
  <si>
    <t>ログディスク容量不足</t>
  </si>
  <si>
    <t>ログ書込失敗が本処理へ与える影響確認。</t>
  </si>
  <si>
    <t>送信処理とログ失敗の状態が識別可能で、データ破損しない。</t>
  </si>
  <si>
    <t>容量制限環境</t>
  </si>
  <si>
    <t>E-004</t>
  </si>
  <si>
    <t>ロック</t>
  </si>
  <si>
    <t>ログファイル排他ロック</t>
  </si>
  <si>
    <t>ローテーション/書込競合時の耐性確認。</t>
  </si>
  <si>
    <t>無限待ちせず、仕様どおり代替/失敗処理する。</t>
  </si>
  <si>
    <t>ファイルロック</t>
  </si>
  <si>
    <t>Serilog sink設定</t>
  </si>
  <si>
    <t>E-005</t>
  </si>
  <si>
    <t>ローテーション</t>
  </si>
  <si>
    <t>ロールオーバー境界で大量ログ</t>
  </si>
  <si>
    <t>切替時の欠落・重複確認。</t>
  </si>
  <si>
    <t>ログ切替時に重要な処理記録が欠落しない。</t>
  </si>
  <si>
    <t>大量イベント</t>
  </si>
  <si>
    <t>ローテーション条件/保持数</t>
  </si>
  <si>
    <t>E-006</t>
  </si>
  <si>
    <t>ログ出力中にSender再起動</t>
  </si>
  <si>
    <t>末尾破損・再開確認。</t>
  </si>
  <si>
    <t>既存ログを壊さず、再起動後のログが追跡可能。</t>
  </si>
  <si>
    <t>起動ログ仕様</t>
  </si>
  <si>
    <t>E-007</t>
  </si>
  <si>
    <t>文字</t>
  </si>
  <si>
    <t>日本語・記号を含むファイル名/エラー</t>
  </si>
  <si>
    <t>文字化けにより解析不能になるのを防ぐため。</t>
  </si>
  <si>
    <t>ログが判読可能な文字コードで出力される。</t>
  </si>
  <si>
    <t>文字コード</t>
  </si>
  <si>
    <t>E-008</t>
  </si>
  <si>
    <t>OS時刻変更中のログ</t>
  </si>
  <si>
    <t>時系列解析が破綻しないか確認。</t>
  </si>
  <si>
    <t>時刻変更後もログ相関が可能、またはUTC等の仕様どおり。</t>
  </si>
  <si>
    <t>時刻変更</t>
  </si>
  <si>
    <t>タイムスタンプ仕様</t>
  </si>
  <si>
    <t>E-009</t>
  </si>
  <si>
    <t>大量</t>
  </si>
  <si>
    <t>短時間に大量エラー</t>
  </si>
  <si>
    <t>ログI/O過多による本処理阻害確認。</t>
  </si>
  <si>
    <t>ログ出力でプロセスが停止せず、重要ログが欠落しない。</t>
  </si>
  <si>
    <t>大量エラー生成</t>
  </si>
  <si>
    <t>非同期ログ/キュー上限</t>
  </si>
  <si>
    <t>E-010</t>
  </si>
  <si>
    <t>内容</t>
  </si>
  <si>
    <t>B/Cの開始・失敗・再送・成功の相関</t>
  </si>
  <si>
    <t>異常系で原因追跡できる粒度があるか確認。</t>
  </si>
  <si>
    <t>同一ファイルの一連の処理が時系列で特定できる。</t>
  </si>
  <si>
    <t>相関ID/必須ログ項目</t>
  </si>
  <si>
    <t>F-001</t>
  </si>
  <si>
    <t>F</t>
  </si>
  <si>
    <t>図F：CTC側リソース測定／C～E処理中のOS状態取得</t>
  </si>
  <si>
    <t>取得失敗</t>
  </si>
  <si>
    <t>CPUカウンタ取得不可</t>
  </si>
  <si>
    <t>測定API失敗時に本処理へ影響しないか確認。</t>
  </si>
  <si>
    <t>Fの通常時リソース取得を確認済み。</t>
  </si>
  <si>
    <t>測定失敗が識別でき、送信処理が不正終了しない。</t>
  </si>
  <si>
    <t>CTC側リソース記録、Senderログ、SQLite</t>
  </si>
  <si>
    <t>権限/監視機能制御</t>
  </si>
  <si>
    <t>取得API・失敗時動作</t>
  </si>
  <si>
    <t>F-002</t>
  </si>
  <si>
    <t>高負荷</t>
  </si>
  <si>
    <t>CPU高負荷中に送信</t>
  </si>
  <si>
    <t>性能劣化時の送信/記録継続性確認。</t>
  </si>
  <si>
    <t>送信結果とCPU値が取得され、ハングしない。</t>
  </si>
  <si>
    <t>CPU負荷ツール</t>
  </si>
  <si>
    <t>許容CPU負荷</t>
  </si>
  <si>
    <t>F-003</t>
  </si>
  <si>
    <t>メモリ逼迫中に送信</t>
  </si>
  <si>
    <t>OOM近傍での安定性確認。</t>
  </si>
  <si>
    <t>異常終了せず、メモリ値・処理失敗が追跡可能。</t>
  </si>
  <si>
    <t>メモリ負荷ツール</t>
  </si>
  <si>
    <t>最低空きメモリ</t>
  </si>
  <si>
    <t>F-004</t>
  </si>
  <si>
    <t>ディスクI/O高負荷中に送信</t>
  </si>
  <si>
    <t>ファイル読込・DB・ログ競合を確認。</t>
  </si>
  <si>
    <t>データ破損なく、遅延とI/O値を記録できる。</t>
  </si>
  <si>
    <t>I/O負荷ツール</t>
  </si>
  <si>
    <t>許容遅延</t>
  </si>
  <si>
    <t>F-005</t>
  </si>
  <si>
    <t>ネットワーク高負荷中に送信</t>
  </si>
  <si>
    <t>転送性能低下と測定値整合確認。</t>
  </si>
  <si>
    <t>送信結果が追跡可能で、ネットワーク値が異常値にならない。</t>
  </si>
  <si>
    <t>ネットワーク負荷</t>
  </si>
  <si>
    <t>対象NIC定義</t>
  </si>
  <si>
    <t>F-006</t>
  </si>
  <si>
    <t>境界</t>
  </si>
  <si>
    <t>NIC切断中のネットワーク値</t>
  </si>
  <si>
    <t>切断時の0/NULL/例外扱い確認。</t>
  </si>
  <si>
    <t>測定失敗で全体が停止せず、値の扱いが明確。</t>
  </si>
  <si>
    <t>NIC操作</t>
  </si>
  <si>
    <t>切断時値の仕様</t>
  </si>
  <si>
    <t>F-007</t>
  </si>
  <si>
    <t>OS時刻変更</t>
  </si>
  <si>
    <t>サンプリング時系列の整合性確認。</t>
  </si>
  <si>
    <t>記録時刻が追跡可能で、順序崩壊時も識別可能。</t>
  </si>
  <si>
    <t>時刻源/間隔</t>
  </si>
  <si>
    <t>F-008</t>
  </si>
  <si>
    <t>継続</t>
  </si>
  <si>
    <t>長時間連続測定</t>
  </si>
  <si>
    <t>リーク・ログ/DB肥大化確認。</t>
  </si>
  <si>
    <t>測定プロセスが安定し、欠測が仕様範囲内。</t>
  </si>
  <si>
    <t>長時間実行環境</t>
  </si>
  <si>
    <t>測定周期・保持</t>
  </si>
  <si>
    <t>F-009</t>
  </si>
  <si>
    <t>リソース取得権限不足</t>
  </si>
  <si>
    <t>サービス実行ユーザー変更等を想定。</t>
  </si>
  <si>
    <t>取得不能を識別し、本処理へ過度な影響を与えない。</t>
  </si>
  <si>
    <t>ACL/ユーザー変更</t>
  </si>
  <si>
    <t>必要権限</t>
  </si>
  <si>
    <t>F-010</t>
  </si>
  <si>
    <t>値</t>
  </si>
  <si>
    <t>カウンタ値の異常/NULL</t>
  </si>
  <si>
    <t>取得API異常値の保存処理確認。</t>
  </si>
  <si>
    <t>異常値を正常値として誤解釈せず、安全に記録/除外する。</t>
  </si>
  <si>
    <t>要仕様確認</t>
  </si>
  <si>
    <t>モック/テストフック</t>
  </si>
  <si>
    <t>異常値表現</t>
  </si>
  <si>
    <t>F-011</t>
  </si>
  <si>
    <t>高負荷解除後の測定復帰</t>
  </si>
  <si>
    <t>一時高負荷後に計測が継続するか確認。</t>
  </si>
  <si>
    <t>計測が自動復帰し、送信も継続できる。</t>
  </si>
  <si>
    <t>負荷ツール</t>
  </si>
  <si>
    <t>復旧条件</t>
  </si>
  <si>
    <t>F-012</t>
  </si>
  <si>
    <t>相関</t>
  </si>
  <si>
    <t>C/D/E異常時のOS状態記録</t>
  </si>
  <si>
    <t>異常時原因分析に必要なリソース情報が残るか確認。</t>
  </si>
  <si>
    <t>異常発生期間のCPU/メモリ/I/O/ネットワーク記録が参照できる。</t>
  </si>
  <si>
    <t>各障害注入手段</t>
  </si>
  <si>
    <t>リソース記録保存先</t>
  </si>
  <si>
    <t>G-001</t>
  </si>
  <si>
    <t>G</t>
  </si>
  <si>
    <t>受信異常</t>
  </si>
  <si>
    <t>0 byteファイル受信</t>
  </si>
  <si>
    <t>不正データの後段登録を防ぐため。</t>
  </si>
  <si>
    <t>Sender→Receiverの通常受信を確認済み。</t>
  </si>
  <si>
    <t>Receiverが正常データとしてDB登録へ流さず、状態を追跡可能。</t>
  </si>
  <si>
    <t>Receiver受信ファイル、Receiver SQLite、Serilog、Sender履歴</t>
  </si>
  <si>
    <t>0 byte許容有無</t>
  </si>
  <si>
    <t>G-002</t>
  </si>
  <si>
    <t>不完全ファイル受信</t>
  </si>
  <si>
    <t>破損データ登録防止。</t>
  </si>
  <si>
    <t>不完全受信を正常完了扱いしない。</t>
  </si>
  <si>
    <t>ネットワーク遮断</t>
  </si>
  <si>
    <t>完全性判定方式</t>
  </si>
  <si>
    <t>G-003</t>
  </si>
  <si>
    <t>同一ファイル再受信</t>
  </si>
  <si>
    <t>再送時の二重登録防止。</t>
  </si>
  <si>
    <t>重複受信の扱いが仕様どおりでDB重複を防止/識別。</t>
  </si>
  <si>
    <t>通信遮断</t>
  </si>
  <si>
    <t>重複キー</t>
  </si>
  <si>
    <t>G-004</t>
  </si>
  <si>
    <t>受信先ディスク容量不足</t>
  </si>
  <si>
    <t>ファイル保存失敗時の安全性確認。</t>
  </si>
  <si>
    <t>部分ファイルを正常扱いせず、送信側にも成功を返さない。</t>
  </si>
  <si>
    <t>G-005</t>
  </si>
  <si>
    <t>受信先フォルダ書込不可</t>
  </si>
  <si>
    <t>アクセス権障害時の受信処理確認。</t>
  </si>
  <si>
    <t>受信失敗が明確でReceiverが不正終了しない。</t>
  </si>
  <si>
    <t>受信先パス/権限</t>
  </si>
  <si>
    <t>G-006</t>
  </si>
  <si>
    <t>受信先</t>
  </si>
  <si>
    <t>受信フォルダ不存在</t>
  </si>
  <si>
    <t>設定/マウント異常を想定。</t>
  </si>
  <si>
    <t>不存在を検出し、安全に失敗/再作成する。</t>
  </si>
  <si>
    <t>自動作成有無</t>
  </si>
  <si>
    <t>G-007</t>
  </si>
  <si>
    <t>競合</t>
  </si>
  <si>
    <t>同名ファイルが受信先に既存</t>
  </si>
  <si>
    <t>上書き・重複・履歴整合確認。</t>
  </si>
  <si>
    <t>無条件上書きでデータを失わず、仕様どおり処理。</t>
  </si>
  <si>
    <t>同名時規則</t>
  </si>
  <si>
    <t>G-008</t>
  </si>
  <si>
    <t>受信中にReceiver強制終了</t>
  </si>
  <si>
    <t>途中ファイルと再開性確認。</t>
  </si>
  <si>
    <t>不完全ファイルを正常扱いせず、再送で整合。</t>
  </si>
  <si>
    <t>一時ファイル方式</t>
  </si>
  <si>
    <t>G-009</t>
  </si>
  <si>
    <t>3種ファイル同時受信</t>
  </si>
  <si>
    <t>並行処理競合の確認。</t>
  </si>
  <si>
    <t>ファイル内容・状態・後段登録先が混在しない。</t>
  </si>
  <si>
    <t>G-010</t>
  </si>
  <si>
    <t>多数ファイル同時/連続受信</t>
  </si>
  <si>
    <t>キュー/スレッド/FD枯渇確認。</t>
  </si>
  <si>
    <t>欠落・重複なく処理し、限界時は明確な失敗状態。</t>
  </si>
  <si>
    <t>最大同時数</t>
  </si>
  <si>
    <t>G-011</t>
  </si>
  <si>
    <t>入力</t>
  </si>
  <si>
    <t>想定外拡張子/種別</t>
  </si>
  <si>
    <t>後段ロガー誤選択防止。</t>
  </si>
  <si>
    <t>不明種別を誤ったDBへ登録しない。</t>
  </si>
  <si>
    <t>送信ファイル加工</t>
  </si>
  <si>
    <t>許容種別</t>
  </si>
  <si>
    <t>G-012</t>
  </si>
  <si>
    <t>ファイル名に特殊文字</t>
  </si>
  <si>
    <t>保存・DB連携で文字化け/失敗しないか確認。</t>
  </si>
  <si>
    <t>サポート範囲で一貫して扱い、範囲外は明確に失敗。</t>
  </si>
  <si>
    <t>命名規則</t>
  </si>
  <si>
    <t>G-013</t>
  </si>
  <si>
    <t>セキュリティ</t>
  </si>
  <si>
    <t>パストラバーサル相当の名称</t>
  </si>
  <si>
    <t>受信先外への書込み防止。</t>
  </si>
  <si>
    <t>受信先外へ書込まず拒否する。</t>
  </si>
  <si>
    <t>テストクライアント/フック</t>
  </si>
  <si>
    <t>Receiverが名称を外部入力として扱うか</t>
  </si>
  <si>
    <t>G-014</t>
  </si>
  <si>
    <t>後段障害</t>
  </si>
  <si>
    <t>DB側停止中に受信</t>
  </si>
  <si>
    <t>受信と登録を分離して保持できるか確認。</t>
  </si>
  <si>
    <t>受信データを失わず、DB登録失敗状態が追跡可能。</t>
  </si>
  <si>
    <t>DBサービス操作</t>
  </si>
  <si>
    <t>再登録方式</t>
  </si>
  <si>
    <t>G-015</t>
  </si>
  <si>
    <t>DB登録遅延中に連続受信</t>
  </si>
  <si>
    <t>バックプレッシャ/キュー増大確認。</t>
  </si>
  <si>
    <t>メモリ枯渇やデータ欠落なく、滞留状態が把握可能。</t>
  </si>
  <si>
    <t>DB負荷/遅延</t>
  </si>
  <si>
    <t>キュー上限</t>
  </si>
  <si>
    <t>G-016</t>
  </si>
  <si>
    <t>受信ファイル破損</t>
  </si>
  <si>
    <t>転送/保存後の破損検知範囲確認。</t>
  </si>
  <si>
    <t>破損データを正常登録しない、または異常が追跡可能。</t>
  </si>
  <si>
    <t>ファイル加工</t>
  </si>
  <si>
    <t>整合性検証方式</t>
  </si>
  <si>
    <t>G-017</t>
  </si>
  <si>
    <t>Receiver停止→復旧後の未送信再受信</t>
  </si>
  <si>
    <t>一時停止からの回復性確認。</t>
  </si>
  <si>
    <t>未送信分を重複なく受信できる。</t>
  </si>
  <si>
    <t>Sender再送仕様</t>
  </si>
  <si>
    <t>G-018</t>
  </si>
  <si>
    <t>Receiver OS時刻変更</t>
  </si>
  <si>
    <t>受信/DB登録時刻の整合確認。</t>
  </si>
  <si>
    <t>状態履歴が追跡可能で、誤った順序判定をしない。</t>
  </si>
  <si>
    <t>受信時刻の時刻源</t>
  </si>
  <si>
    <t>H-001</t>
  </si>
  <si>
    <t>H</t>
  </si>
  <si>
    <t>図H：Receiver側SQLite／受信・DB登録状態管理</t>
  </si>
  <si>
    <t>Receiver SQLite読取専用</t>
  </si>
  <si>
    <t>受信後の状態記録不能時の整合確認。</t>
  </si>
  <si>
    <t>Receiver SQLiteをバックアップ済み。</t>
  </si>
  <si>
    <t>受信実態と状態DBの乖離が隠れず、明確に失敗/保留となる。</t>
  </si>
  <si>
    <t>Receiver SQLite、InfluxDB/PostgreSQL、Receiver Serilog</t>
  </si>
  <si>
    <t>ACL/属性変更</t>
  </si>
  <si>
    <t>受信継続可否</t>
  </si>
  <si>
    <t>H-002</t>
  </si>
  <si>
    <t>Receiver SQLite排他ロック</t>
  </si>
  <si>
    <t>無限待ちせず、受信データを失わない。</t>
  </si>
  <si>
    <t>SQLiteロックツール</t>
  </si>
  <si>
    <t>H-003</t>
  </si>
  <si>
    <t>Receiver SQLite破損</t>
  </si>
  <si>
    <t>状態管理DB破損時の安全性確認。</t>
  </si>
  <si>
    <t>破損を検知し、誤った登録状態を書込まない。</t>
  </si>
  <si>
    <t>復旧手順</t>
  </si>
  <si>
    <t>H-004</t>
  </si>
  <si>
    <t>受信状態更新中にReceiver停止</t>
  </si>
  <si>
    <t>原子性・再起動回復確認。</t>
  </si>
  <si>
    <t>再起動後に未完了/完了を誤判定しない。</t>
  </si>
  <si>
    <t>H-005</t>
  </si>
  <si>
    <t>受信成功→DB登録失敗</t>
  </si>
  <si>
    <t>受信と登録の段階管理確認。</t>
  </si>
  <si>
    <t>受信済・登録失敗を区別して記録できる。</t>
  </si>
  <si>
    <t>状態一覧</t>
  </si>
  <si>
    <t>H-006</t>
  </si>
  <si>
    <t>DB登録失敗→再登録成功</t>
  </si>
  <si>
    <t>リトライ後の最終状態整合確認。</t>
  </si>
  <si>
    <t>失敗履歴を残しつつ最終成功が判別できる。</t>
  </si>
  <si>
    <t>自動/手動再登録</t>
  </si>
  <si>
    <t>H-007</t>
  </si>
  <si>
    <t>不整合</t>
  </si>
  <si>
    <t>DB登録成功後にSQLite更新失敗</t>
  </si>
  <si>
    <t>実DBと状態DBの不整合検出確認。</t>
  </si>
  <si>
    <t>実DB重複登録を起こさず、次回復旧で整合可能。</t>
  </si>
  <si>
    <t>DBロック/タイミング制御</t>
  </si>
  <si>
    <t>コミット順序</t>
  </si>
  <si>
    <t>H-008</t>
  </si>
  <si>
    <t>同一受信ファイルの再登録要求</t>
  </si>
  <si>
    <t>冪等性確認。</t>
  </si>
  <si>
    <t>重複レコードを仕様どおり防止/識別。</t>
  </si>
  <si>
    <t>DB側一意キー</t>
  </si>
  <si>
    <t>H-009</t>
  </si>
  <si>
    <t>順序</t>
  </si>
  <si>
    <t>PROCESS/EVENT/SAMPLING登録順逆転</t>
  </si>
  <si>
    <t>順序依存バグ確認。</t>
  </si>
  <si>
    <t>種別ごとに正しいDBへ登録し、状態が混在しない。</t>
  </si>
  <si>
    <t>順序依存有無</t>
  </si>
  <si>
    <t>H-010</t>
  </si>
  <si>
    <t>SQLite配置ディスク容量不足</t>
  </si>
  <si>
    <t>状態更新失敗とDB本体登録の整合確認。</t>
  </si>
  <si>
    <t>状態不明のまま成功扱いにしない。</t>
  </si>
  <si>
    <t>空き容量しきい値</t>
  </si>
  <si>
    <t>H-011</t>
  </si>
  <si>
    <t>受信・登録中に時刻変更</t>
  </si>
  <si>
    <t>処理時間・順序の異常値防止。</t>
  </si>
  <si>
    <t>負の処理時間等を誤表示せず、仕様どおり扱う。</t>
  </si>
  <si>
    <t>Registration Pipeline時刻算出方式</t>
  </si>
  <si>
    <t>H-012</t>
  </si>
  <si>
    <t>状態履歴大量蓄積</t>
  </si>
  <si>
    <t>DB肥大化時の性能・保守性確認。</t>
  </si>
  <si>
    <t>状態更新が極端に劣化せず、上限時は仕様どおり。</t>
  </si>
  <si>
    <t>保持期間</t>
  </si>
  <si>
    <t>H-013</t>
  </si>
  <si>
    <t>SQLiteスキーマ不整合</t>
  </si>
  <si>
    <t>アップデート差分時の誤更新防止。</t>
  </si>
  <si>
    <t>互換性異常を検出し安全に停止/移行。</t>
  </si>
  <si>
    <t>マイグレーション</t>
  </si>
  <si>
    <t>H-014</t>
  </si>
  <si>
    <t>SQLite障害解除後の再整合</t>
  </si>
  <si>
    <t>一時障害後に受信/登録状態を回収できるか確認。</t>
  </si>
  <si>
    <t>受信実態・DB登録実態・SQLite状態が最終的に一致する。</t>
  </si>
  <si>
    <t>再整合機能</t>
  </si>
  <si>
    <t>I-001</t>
  </si>
  <si>
    <t>I</t>
  </si>
  <si>
    <t>図I：Receiver側Serilog／Receiver処理ログ出力</t>
  </si>
  <si>
    <t>Receiverログ障害時の影響確認。</t>
  </si>
  <si>
    <t>Receiver通常ログ出力を確認済み。</t>
  </si>
  <si>
    <t>受信処理が不正終了せず、ログ障害が識別可能。</t>
  </si>
  <si>
    <t>Receiver Serilog、Receiver SQLite、実DB登録</t>
  </si>
  <si>
    <t>I-002</t>
  </si>
  <si>
    <t>アクセス権変更時の耐性確認。</t>
  </si>
  <si>
    <t>Receiverがクラッシュループせず、受信状態が追跡可能。</t>
  </si>
  <si>
    <t>代替通知</t>
  </si>
  <si>
    <t>I-003</t>
  </si>
  <si>
    <t>ログ失敗とDB登録の相互影響確認。</t>
  </si>
  <si>
    <t>データ登録状態が不明にならず、ログ失敗を安全に扱う。</t>
  </si>
  <si>
    <t>I-004</t>
  </si>
  <si>
    <t>切替境界で大量受信</t>
  </si>
  <si>
    <t>重要ログ欠落確認。</t>
  </si>
  <si>
    <t>受信・登録失敗等の重要イベントが欠落しない。</t>
  </si>
  <si>
    <t>ローテーション設定</t>
  </si>
  <si>
    <t>I-005</t>
  </si>
  <si>
    <t>ログ出力中にReceiver再起動</t>
  </si>
  <si>
    <t>末尾破損・追跡性確認。</t>
  </si>
  <si>
    <t>再起動前後のログを追跡できる。</t>
  </si>
  <si>
    <t>起動/終了ログ</t>
  </si>
  <si>
    <t>I-006</t>
  </si>
  <si>
    <t>受信→登録失敗→再登録成功ログ</t>
  </si>
  <si>
    <t>異常原因の追跡性確認。</t>
  </si>
  <si>
    <t>同一ファイルの一連の処理を相関して追える。</t>
  </si>
  <si>
    <t>相関ID/必須項目</t>
  </si>
  <si>
    <t>I-007</t>
  </si>
  <si>
    <t>特殊文字データのログ</t>
  </si>
  <si>
    <t>文字化けによる解析不能防止。</t>
  </si>
  <si>
    <t>判読可能に出力される。</t>
  </si>
  <si>
    <t>I-008</t>
  </si>
  <si>
    <t>大量エラー連続発生</t>
  </si>
  <si>
    <t>ログキュー飽和・本処理遅延確認。</t>
  </si>
  <si>
    <t>ログ処理でReceiver全体が停止せず、重要ログが残る。</t>
  </si>
  <si>
    <t>大量データ/DB停止</t>
  </si>
  <si>
    <t>ログキュー上限</t>
  </si>
  <si>
    <t>J-001</t>
  </si>
  <si>
    <t>J</t>
  </si>
  <si>
    <t>図J：Receiver側リソース測定／OS状態取得</t>
  </si>
  <si>
    <t>CPU高負荷中の受信・登録</t>
  </si>
  <si>
    <t>Receiver処理能力と測定継続性確認。</t>
  </si>
  <si>
    <t>Receiver側通常リソース測定を確認済み。</t>
  </si>
  <si>
    <t>受信/登録結果とCPU値が取得され、ハングしない。</t>
  </si>
  <si>
    <t>Receiver側リソース記録、Receiverログ、SQLite</t>
  </si>
  <si>
    <t>J-002</t>
  </si>
  <si>
    <t>メモリ逼迫中の受信・登録</t>
  </si>
  <si>
    <t>OOM近傍の安定性確認。</t>
  </si>
  <si>
    <t>プロセス異常終了せず、処理状態とメモリ値を追跡可能。</t>
  </si>
  <si>
    <t>J-003</t>
  </si>
  <si>
    <t>ディスクI/O高負荷中の受信・登録</t>
  </si>
  <si>
    <t>ファイル保存/SQLite/DB連携競合確認。</t>
  </si>
  <si>
    <t>データ破損なく、I/O値と遅延を記録できる。</t>
  </si>
  <si>
    <t>J-004</t>
  </si>
  <si>
    <t>ネットワーク高負荷中の受信</t>
  </si>
  <si>
    <t>通信と計測値の整合確認。</t>
  </si>
  <si>
    <t>受信が追跡可能でネットワーク値が取得される。</t>
  </si>
  <si>
    <t>対象NIC</t>
  </si>
  <si>
    <t>J-005</t>
  </si>
  <si>
    <t>OSカウンタ取得不可</t>
  </si>
  <si>
    <t>計測失敗でReceiver本体が止まらないか確認。</t>
  </si>
  <si>
    <t>計測失敗を識別し、受信/登録を不必要に停止しない。</t>
  </si>
  <si>
    <t>取得API</t>
  </si>
  <si>
    <t>J-006</t>
  </si>
  <si>
    <t>Registration Pipeline時間計測への影響確認。</t>
  </si>
  <si>
    <t>異常な負時間等を誤って正常値として扱わない。</t>
  </si>
  <si>
    <t>処理時間計測方式</t>
  </si>
  <si>
    <t>J-007</t>
  </si>
  <si>
    <t>長時間</t>
  </si>
  <si>
    <t>長時間連続受信・測定</t>
  </si>
  <si>
    <t>リーク/欠測確認。</t>
  </si>
  <si>
    <t>測定が継続し、リソースリーク傾向が把握可能。</t>
  </si>
  <si>
    <t>長時間実行</t>
  </si>
  <si>
    <t>測定周期/保持</t>
  </si>
  <si>
    <t>J-008</t>
  </si>
  <si>
    <t>G/H/I障害時のリソース記録</t>
  </si>
  <si>
    <t>異常原因分析に必要なOS状態確保。</t>
  </si>
  <si>
    <t>障害時間帯のCPU/メモリ/I/O/ネットワークが確認できる。</t>
  </si>
  <si>
    <t>各障害注入</t>
  </si>
  <si>
    <t>保存先</t>
  </si>
  <si>
    <t>J-009</t>
  </si>
  <si>
    <t>高負荷解除後の回復</t>
  </si>
  <si>
    <t>一時負荷後のサービス復帰確認。</t>
  </si>
  <si>
    <t>滞留処理が仕様どおり解消し、測定も継続する。</t>
  </si>
  <si>
    <t>キュー処理方式</t>
  </si>
  <si>
    <t>J-010</t>
  </si>
  <si>
    <t>複数NIC環境</t>
  </si>
  <si>
    <t>取得対象NIC取り違え防止。</t>
  </si>
  <si>
    <t>通信に使用するNICの値を仕様どおり取得する。</t>
  </si>
  <si>
    <t>NIC選定規則</t>
  </si>
  <si>
    <t>K-001</t>
  </si>
  <si>
    <t>K</t>
  </si>
  <si>
    <t>欠損表示</t>
  </si>
  <si>
    <t>SAMPLINGだけ未登録</t>
  </si>
  <si>
    <t>一部欠損時に他データまで誤表示しないか確認。</t>
  </si>
  <si>
    <t>対象データをDBへ登録できるテスト環境がある。</t>
  </si>
  <si>
    <t>存在するデータは正しく表示され、欠損を別データで補完/誤表示しない。</t>
  </si>
  <si>
    <t>異常条件解除後、再読込/再接続で正しい表示に復帰することを確認する。</t>
  </si>
  <si>
    <t>上流欠損ケース利用</t>
  </si>
  <si>
    <t>画面上の欠損表現</t>
  </si>
  <si>
    <t>K-002</t>
  </si>
  <si>
    <t>EVENTだけ未登録</t>
  </si>
  <si>
    <t>一部欠損の独立性確認。</t>
  </si>
  <si>
    <t>EVENT欠損が明確で他表示は正常。</t>
  </si>
  <si>
    <t>K-003</t>
  </si>
  <si>
    <t>PROCESSだけ未登録</t>
  </si>
  <si>
    <t>PROCESS欠損が明確で他表示は正常。</t>
  </si>
  <si>
    <t>K-004</t>
  </si>
  <si>
    <t>重複表示</t>
  </si>
  <si>
    <t>同一データ重複登録/再送</t>
  </si>
  <si>
    <t>再送時の二重表示防止。</t>
  </si>
  <si>
    <t>仕様上重複排除なら1件、履歴表示なら識別可能な形で表示。</t>
  </si>
  <si>
    <t>重複表示仕様</t>
  </si>
  <si>
    <t>K-005</t>
  </si>
  <si>
    <t>遅延表示</t>
  </si>
  <si>
    <t>登録が遅延して後から反映</t>
  </si>
  <si>
    <t>非同期登録/更新の整合確認。</t>
  </si>
  <si>
    <t>最終的に正しいデータが表示され、古い状態が永続しない。</t>
  </si>
  <si>
    <t>DB遅延/停止復旧</t>
  </si>
  <si>
    <t>画面更新周期</t>
  </si>
  <si>
    <t>K-006</t>
  </si>
  <si>
    <t>時系列データを逆順で登録</t>
  </si>
  <si>
    <t>表示ソート/時系列整合確認。</t>
  </si>
  <si>
    <t>画面表示順が仕様どおりでデータの取り違えがない。</t>
  </si>
  <si>
    <t>ソート基準</t>
  </si>
  <si>
    <t>K-007</t>
  </si>
  <si>
    <t>未来時刻データ</t>
  </si>
  <si>
    <t>時刻異常によるグラフ崩れ等を確認。</t>
  </si>
  <si>
    <t>表示範囲・検索・グラフが破綻せず仕様どおり扱う。</t>
  </si>
  <si>
    <t>テストデータ加工</t>
  </si>
  <si>
    <t>許容時刻範囲</t>
  </si>
  <si>
    <t>K-008</t>
  </si>
  <si>
    <t>過去の極端に古いデータ</t>
  </si>
  <si>
    <t>範囲外時刻の扱い確認。</t>
  </si>
  <si>
    <t>仕様上の期間外処理が明確で、現在データへ影響しない。</t>
  </si>
  <si>
    <t>K-009</t>
  </si>
  <si>
    <t>数値の上限/下限付近</t>
  </si>
  <si>
    <t>グラフ軸/フォーマット境界確認。</t>
  </si>
  <si>
    <t>桁あふれ・丸め誤り・表示崩れなく表示。</t>
  </si>
  <si>
    <t>境界値データ</t>
  </si>
  <si>
    <t>値の許容範囲</t>
  </si>
  <si>
    <t>K-010</t>
  </si>
  <si>
    <t>NULL/空値を含むデータ</t>
  </si>
  <si>
    <t>欠測値の誤解釈防止。</t>
  </si>
  <si>
    <t>0等へ誤変換せず、仕様どおり欠測表示/除外。</t>
  </si>
  <si>
    <t>NULL許容</t>
  </si>
  <si>
    <t>K-011</t>
  </si>
  <si>
    <t>日本語・記号を含むEVENT</t>
  </si>
  <si>
    <t>文字化け・HTML表示崩れ防止。</t>
  </si>
  <si>
    <t>文字化け・欠落なく表示。</t>
  </si>
  <si>
    <t>K-012</t>
  </si>
  <si>
    <t>非常に長いEVENT文字列</t>
  </si>
  <si>
    <t>画面レイアウト/DB列長境界確認。</t>
  </si>
  <si>
    <t>画面崩れせず、切捨て等が仕様どおり。</t>
  </si>
  <si>
    <t>長文データ</t>
  </si>
  <si>
    <t>最大表示長</t>
  </si>
  <si>
    <t>K-013</t>
  </si>
  <si>
    <t>大量SAMPLINGデータ表示</t>
  </si>
  <si>
    <t>描画性能・タイムアウト確認。</t>
  </si>
  <si>
    <t>画面が異常終了せず、許容時間内または制御された表示となる。</t>
  </si>
  <si>
    <t>性能基準</t>
  </si>
  <si>
    <t>K-014</t>
  </si>
  <si>
    <t>大量EVENT/PROCESS一覧</t>
  </si>
  <si>
    <t>一覧描画/ページング境界確認。</t>
  </si>
  <si>
    <t>欠落・重複なく、ページング/絞込が仕様どおり。</t>
  </si>
  <si>
    <t>最大表示件数</t>
  </si>
  <si>
    <t>K-015</t>
  </si>
  <si>
    <t>DB障害</t>
  </si>
  <si>
    <t>InfluxDB停止中に画面参照</t>
  </si>
  <si>
    <t>時系列DB障害時のエラー表示確認。</t>
  </si>
  <si>
    <t>無限待ち/画面全体クラッシュせず、取得失敗が識別可能。</t>
  </si>
  <si>
    <t>UIエラー仕様</t>
  </si>
  <si>
    <t>K-016</t>
  </si>
  <si>
    <t>PostgreSQL停止中に画面参照</t>
  </si>
  <si>
    <t>EVENT/PROCESS DB障害時の影響分離確認。</t>
  </si>
  <si>
    <t>対象データ失敗が識別可能で、可能なら他系統表示へ波及しない。</t>
  </si>
  <si>
    <t>DB依存範囲</t>
  </si>
  <si>
    <t>K-017</t>
  </si>
  <si>
    <t>DB復旧後の画面再表示</t>
  </si>
  <si>
    <t>障害解除後の復帰性確認。</t>
  </si>
  <si>
    <t>再起動不要または仕様手順で最新データ表示へ復帰。</t>
  </si>
  <si>
    <t>再接続/キャッシュ仕様</t>
  </si>
  <si>
    <t>K-018</t>
  </si>
  <si>
    <t>更新</t>
  </si>
  <si>
    <t>表示中に新規データ登録</t>
  </si>
  <si>
    <t>画面更新・キャッシュの整合確認。</t>
  </si>
  <si>
    <t>更新後に新規データが一度だけ正しく表示される。</t>
  </si>
  <si>
    <t>自動更新/手動更新</t>
  </si>
  <si>
    <t>K-019</t>
  </si>
  <si>
    <t>整合</t>
  </si>
  <si>
    <t>画面値とDB値の照合</t>
  </si>
  <si>
    <t>異常系後の最終データ整合を保証するため。</t>
  </si>
  <si>
    <t>表示内容がDB登録内容と一致する。</t>
  </si>
  <si>
    <t>DB参照手段</t>
  </si>
  <si>
    <t>表示変換/丸め規則</t>
  </si>
  <si>
    <t>K-020</t>
  </si>
  <si>
    <t>部分登録</t>
  </si>
  <si>
    <t>1ファイル内の一部レコード登録失敗</t>
  </si>
  <si>
    <t>部分成功時の表示誤認防止。</t>
  </si>
  <si>
    <t>成功/失敗範囲が仕様どおりで、欠落を正常完了と誤認しない。</t>
  </si>
  <si>
    <t>不正混在データ</t>
  </si>
  <si>
    <t>トランザクション粒度</t>
  </si>
  <si>
    <t>K-021</t>
  </si>
  <si>
    <t>登録先</t>
  </si>
  <si>
    <t>SAMPLINGがInfluxDB以外へ誤登録されない</t>
  </si>
  <si>
    <t>種別別ルーティング誤り検出。</t>
  </si>
  <si>
    <t>SAMPLINGはTSLogger→InfluxDB、EVENT/PROCESSは所定PostgreSQL経路で表示。</t>
  </si>
  <si>
    <t>テーブル/measurement対応</t>
  </si>
  <si>
    <t>K-022</t>
  </si>
  <si>
    <t>アプリ再起動後のキャッシュ/状態復元確認。</t>
  </si>
  <si>
    <t>再起動前後でデータ欠落/重複がない。</t>
  </si>
  <si>
    <t>再起動手順</t>
  </si>
  <si>
    <t>項目数</t>
  </si>
  <si>
    <t>P1件数</t>
  </si>
  <si>
    <t>条件付き/要仕様確認件数</t>
  </si>
  <si>
    <t>全試験項目数</t>
  </si>
  <si>
    <t>横断シナリオ数</t>
  </si>
  <si>
    <t>正常系</t>
  </si>
  <si>
    <t>既完了の前提</t>
  </si>
  <si>
    <t>A/L</t>
  </si>
  <si>
    <t>A対象外、L今回対象外</t>
  </si>
  <si>
    <t>記号</t>
  </si>
  <si>
    <t>対象/対象外</t>
  </si>
  <si>
    <t>構成要素</t>
  </si>
  <si>
    <t>今回の評価方針</t>
  </si>
  <si>
    <t>判定値</t>
  </si>
  <si>
    <t>意味</t>
  </si>
  <si>
    <t>A</t>
  </si>
  <si>
    <t>対象外</t>
  </si>
  <si>
    <t>装置/テストデータ生成</t>
  </si>
  <si>
    <t>完成済みのため評価対象外</t>
  </si>
  <si>
    <t>一般的な操作だけで再現可能</t>
  </si>
  <si>
    <t>Sender：指定フォルダ監視・3ファイル取得</t>
  </si>
  <si>
    <t>欠損、遅延、競合、権限、容量、境界</t>
  </si>
  <si>
    <t>権限変更、サービス停止、負荷/通信制御等が必要</t>
  </si>
  <si>
    <t>TLS gRPC送信</t>
  </si>
  <si>
    <t>通信断、TLS、再送、タイムアウト、再起動、並行</t>
  </si>
  <si>
    <t>テストフックや内部仕様が不明で、現時点では可否確定不可</t>
  </si>
  <si>
    <t>Sender SQLite</t>
  </si>
  <si>
    <t>DBロック/破損/容量/状態遷移/復旧</t>
  </si>
  <si>
    <t>Sender Serilog</t>
  </si>
  <si>
    <t>ログ出力失敗、ローテーション、追跡性</t>
  </si>
  <si>
    <t>基準</t>
  </si>
  <si>
    <t>CTC側OS状態取得</t>
  </si>
  <si>
    <t>高負荷、取得失敗、時刻、継続性</t>
  </si>
  <si>
    <t>データ欠落/重複、DB不整合、クラッシュ、復旧不能、TLS等の重大障害</t>
  </si>
  <si>
    <t>Receiver：ファイル受信</t>
  </si>
  <si>
    <t>部分受信、重複、容量、権限、再起動、後段障害</t>
  </si>
  <si>
    <t>性能劣化、ログ/監視の欠落、一時障害、表示整合</t>
  </si>
  <si>
    <t>Receiver SQLite/DB登録状態</t>
  </si>
  <si>
    <t>状態遷移、不整合、重複、DB障害、復旧</t>
  </si>
  <si>
    <t>低頻度の境界値、特殊文字、互換性等</t>
  </si>
  <si>
    <t>Receiver Serilog</t>
  </si>
  <si>
    <t>Receiver側OS状態取得</t>
  </si>
  <si>
    <t>高負荷、取得失敗、処理時間への影響</t>
  </si>
  <si>
    <t>欠損、重複、遅延、時刻、境界、大量、DB障害、復旧</t>
  </si>
  <si>
    <t>L</t>
  </si>
  <si>
    <t>今回対象外</t>
  </si>
  <si>
    <t>必要なら同じ方針で追加可能</t>
  </si>
  <si>
    <t>ID</t>
  </si>
  <si>
    <t>横断シナリオ</t>
  </si>
  <si>
    <t>目的</t>
  </si>
  <si>
    <t>前提/手順</t>
  </si>
  <si>
    <t>X-001</t>
  </si>
  <si>
    <t>B→C→D→E</t>
  </si>
  <si>
    <t>ファイル検出直後にネットワーク断</t>
  </si>
  <si>
    <t>取得済みだが未送信のデータ保持確認</t>
  </si>
  <si>
    <t>対象3ファイル配置→Bで検出後に通信断→復旧</t>
  </si>
  <si>
    <t>未送信分が失われず、履歴/ログが整合して再送される</t>
  </si>
  <si>
    <t>X-002</t>
  </si>
  <si>
    <t>C→G→H</t>
  </si>
  <si>
    <t>受信完了直後にReceiver停止</t>
  </si>
  <si>
    <t>ACK/状態更新境界の重複確認</t>
  </si>
  <si>
    <t>大容量送信→受信完了付近でReceiver停止→再起動</t>
  </si>
  <si>
    <t>再送時もDB重複がなく最終状態が整合する</t>
  </si>
  <si>
    <t>X-003</t>
  </si>
  <si>
    <t>G→H→K</t>
  </si>
  <si>
    <t>受信成功・DB停止</t>
  </si>
  <si>
    <t>受信と登録の分離/復旧確認</t>
  </si>
  <si>
    <t>DB停止→受信→DB復旧→再登録→画面確認</t>
  </si>
  <si>
    <t>データを失わず、復旧後に1件だけ正しく表示</t>
  </si>
  <si>
    <t>X-004</t>
  </si>
  <si>
    <t>D/E/F</t>
  </si>
  <si>
    <t>Sender側ディスク容量不足</t>
  </si>
  <si>
    <t>SQLite/ログ/OS測定が同一障害で影響する場合の確認</t>
  </si>
  <si>
    <t>安全なテスト領域で容量逼迫→送信実行</t>
  </si>
  <si>
    <t>状態不明・DB破損を起こさず障害箇所を特定可能</t>
  </si>
  <si>
    <t>X-005</t>
  </si>
  <si>
    <t>H/I/J</t>
  </si>
  <si>
    <t>Receiver側ディスク容量不足</t>
  </si>
  <si>
    <t>状態DB/ログ/OS測定の複合影響確認</t>
  </si>
  <si>
    <t>受信処理中に安全な容量不足を発生</t>
  </si>
  <si>
    <t>受信/登録の成否が追跡可能で復旧後に整合する</t>
  </si>
  <si>
    <t>X-006</t>
  </si>
  <si>
    <t>B→K</t>
  </si>
  <si>
    <t>同一3ファイルセットを再投入</t>
  </si>
  <si>
    <t>E2Eの重複排除/表示確認</t>
  </si>
  <si>
    <t>一度完了した同一セットを再投入</t>
  </si>
  <si>
    <t>履歴と画面が重複仕様どおりで、意図しない二重登録なし</t>
  </si>
  <si>
    <t>X-007</t>
  </si>
  <si>
    <t>大量セット一括投入</t>
  </si>
  <si>
    <t>E2Eの滞留・欠落・性能確認</t>
  </si>
  <si>
    <t>多数セット投入→全件処理完了まで監視</t>
  </si>
  <si>
    <t>投入件数と受信/DB/画面件数が整合する</t>
  </si>
  <si>
    <t>X-008</t>
  </si>
  <si>
    <t>C→K</t>
  </si>
  <si>
    <t>通信断→復旧→再送</t>
  </si>
  <si>
    <t>E2E復旧性確認</t>
  </si>
  <si>
    <t>送信途中断→復旧→再送→DB/画面照合</t>
  </si>
  <si>
    <t>破損/重複なしで最終的に正しい表示</t>
  </si>
  <si>
    <t>X-009</t>
  </si>
  <si>
    <t>3ファイルの到着順逆転</t>
  </si>
  <si>
    <t>ファイル種別の独立性・関連付け確認</t>
  </si>
  <si>
    <t>PROCESS→EVENT→SAMPLING順に投入</t>
  </si>
  <si>
    <t>種別を取り違えず所定DB・画面に反映</t>
  </si>
  <si>
    <t>X-010</t>
  </si>
  <si>
    <t>Sender再起動を挟む再送</t>
  </si>
  <si>
    <t>送信管理の永続性確認</t>
  </si>
  <si>
    <t>送信中Sender停止→再起動→処理継続</t>
  </si>
  <si>
    <t>未完了だけ安全に再処理され、画面に重複なし</t>
  </si>
  <si>
    <t>X-011</t>
  </si>
  <si>
    <t>G→K</t>
  </si>
  <si>
    <t>Receiver再起動を挟む登録</t>
  </si>
  <si>
    <t>受信/登録管理の永続性確認</t>
  </si>
  <si>
    <t>受信中Receiver停止→再起動→再送/再登録</t>
  </si>
  <si>
    <t>最終DB・画面とSQLite状態が一致</t>
  </si>
  <si>
    <t>X-012</t>
  </si>
  <si>
    <t>F/J/K</t>
  </si>
  <si>
    <t>処理時間・ログ・表示時刻の整合確認</t>
  </si>
  <si>
    <t>隔離環境で送受信中に時刻変更</t>
  </si>
  <si>
    <t>負時間/逆転等が誤って正常扱いされず追跡可能</t>
  </si>
  <si>
    <t>X-013</t>
  </si>
  <si>
    <t>C/G/H/K</t>
  </si>
  <si>
    <t>DB停止中に大量受信</t>
  </si>
  <si>
    <t>バックログ・復旧後の一括登録確認</t>
  </si>
  <si>
    <t>DB停止→多数送信→DB復旧</t>
  </si>
  <si>
    <t>データ欠落/重複なく順次登録され表示される</t>
  </si>
  <si>
    <t>X-014</t>
  </si>
  <si>
    <t>E/I</t>
  </si>
  <si>
    <t>Sender/Receiver双方で大量エラー</t>
  </si>
  <si>
    <t>ログ追跡性とI/O影響確認</t>
  </si>
  <si>
    <t>通信失敗とDB失敗を同時多発</t>
  </si>
  <si>
    <t>双方のログで相関でき、本処理がログI/Oで停止しない</t>
  </si>
  <si>
    <t>X-015</t>
  </si>
  <si>
    <t>障害解除後の完全E2E復帰</t>
  </si>
  <si>
    <t>最終的な運用復旧性を確認</t>
  </si>
  <si>
    <t>代表的な通信/DB障害を発生→解除→新規正常セット投入</t>
  </si>
  <si>
    <t>過去障害の影響を引きずらず、新規データが正常に表示</t>
  </si>
  <si>
    <t xml:space="preserve">1) SAMPLINGのみ配置しない。
2) 監視周期を跨ぐまで待つ。
3) Sender状態・履歴・ログを確認する。
</t>
  </si>
  <si>
    <t xml:space="preserve">1) EVENTのみ配置しない。
2) 監視周期を跨ぐまで待つ。
3) Sender状態・履歴・ログを確認する。
</t>
  </si>
  <si>
    <t xml:space="preserve">1) PROCESSのみ配置しない。
2) 監視周期を跨ぐまで待つ。
3) Sender状態・履歴・ログを確認する。
</t>
  </si>
  <si>
    <t xml:space="preserve">1) Receiverサービスを停止して対象ファイルを配置する。
2) Sender/Receiverの状態・履歴・ログを確認。
3) 必要に応じ復旧して再送確認。
</t>
  </si>
  <si>
    <t xml:space="preserve">1) ネットワークを切断後に対象ファイルを配置する。
2) Sender/Receiverの状態・履歴・ログを確認。
3) 必要に応じ復旧して再送確認。
</t>
  </si>
  <si>
    <t xml:space="preserve">1) 大容量ファイル送信中にNIC無効化または通信遮断する。
2) Sender/Receiverの状態・履歴・ログを確認。
3) 必要に応じ復旧して再送確認。
</t>
  </si>
  <si>
    <t xml:space="preserve">1) 受信完了直後を狙って通信を遮断し、復旧後の再送を確認する。
2) Sender/Receiverの状態・履歴・ログを確認。
3) 必要に応じ復旧して再送確認。
</t>
  </si>
  <si>
    <t xml:space="preserve">1) 通信遅延を段階的に付与して送信する。
2) Sender/Receiverの状態・履歴・ログを確認。
3) 必要に応じ復旧して再送確認。
</t>
  </si>
  <si>
    <t xml:space="preserve">1) パケット損失を付与して複数ファイルを送信する。
2) Sender/Receiverの状態・履歴・ログを確認。
3) 必要に応じ復旧して再送確認。
</t>
  </si>
  <si>
    <t xml:space="preserve">1) 帯域を制限して大容量ファイルを送る。
2) Sender/Receiverの状態・履歴・ログを確認。
3) 必要に応じ復旧して再送確認。
</t>
  </si>
  <si>
    <t xml:space="preserve">1) 期限切れ証明書をテスト環境に設定して接続する。
2) Sender/Receiverの状態・履歴・ログを確認。
3) 必要に応じ復旧して再送確認。
</t>
  </si>
  <si>
    <t xml:space="preserve">1) 未信頼CAの証明書でReceiverを起動し送信する。
2) Sender/Receiverの状態・履歴・ログを確認。
3) 必要に応じ復旧して再送確認。
</t>
  </si>
  <si>
    <t xml:space="preserve">1) 接続先名とCN/SANが不一致の証明書を使用する。
2) Sender/Receiverの状態・履歴・ログを確認。
3) 必要に応じ復旧して再送確認。
</t>
  </si>
  <si>
    <t xml:space="preserve">1) Handshake中にReceiver停止/通信遮断する。
2) Sender/Receiverの状態・履歴・ログを確認。
3) 必要に応じ復旧して再送確認。
</t>
  </si>
  <si>
    <t xml:space="preserve">1) 対象ポートをFirewallで遮断して送信する。
2) Sender/Receiverの状態・履歴・ログを確認。
3) 必要に応じ復旧して再送確認。
</t>
  </si>
  <si>
    <t xml:space="preserve">1) 存在しない/別ホストを送信先に設定する。
2) Sender/Receiverの状態・履歴・ログを確認。
3) 必要に応じ復旧して再送確認。
</t>
  </si>
  <si>
    <t xml:space="preserve">1) Receiver停止を継続し再送回数を上限まで発生させる。
2) Sender/Receiverの状態・履歴・ログを確認。
3) 必要に応じ復旧して再送確認。
</t>
  </si>
  <si>
    <t xml:space="preserve">1) 通信断で失敗させた後、ネットワークのみ復旧する。
2) Sender/Receiverの状態・履歴・ログを確認。
3) 必要に応じ復旧して再送確認。
</t>
  </si>
  <si>
    <t xml:space="preserve">1) 大容量送信中にSenderを停止/再起動する。
2) Sender/Receiverの状態・履歴・ログを確認。
3) 必要に応じ復旧して再送確認。
</t>
  </si>
  <si>
    <t xml:space="preserve">1) 送信中にReceiverを停止/再起動する。
2) Sender/Receiverの状態・履歴・ログを確認。
3) 必要に応じ復旧して再送確認。
</t>
  </si>
  <si>
    <t xml:space="preserve">1) 3種類を同時に送信対象へ投入する。
2) Sender/Receiverの状態・履歴・ログを確認。
3) 必要に応じ復旧して再送確認。
</t>
  </si>
  <si>
    <t xml:space="preserve">1) 多数ファイルを短時間に投入し継続送信する。
2) Sender/Receiverの状態・履歴・ログを確認。
3) 必要に応じ復旧して再送確認。
</t>
  </si>
  <si>
    <t xml:space="preserve">1) 大容量ファイル送信中に元ファイルの改変を試行する。
2) Sender/Receiverの状態・履歴・ログを確認。
3) 必要に応じ復旧して再送確認。
</t>
  </si>
  <si>
    <t xml:space="preserve">1) 設定上限を超えるファイルを送信する。
2) Sender/Receiverの状態・履歴・ログを確認。
3) 必要に応じ復旧して再送確認。
</t>
  </si>
  <si>
    <t xml:space="preserve">1) 可能ならバージョン/設定差を意図的に作る。
2) Sender/Receiverの状態・履歴・ログを確認。
3) 必要に応じ復旧して再送確認。
</t>
  </si>
  <si>
    <t xml:space="preserve">1) SQLiteを退避してSenderを起動/処理。
2) DB内容・Senderログ・送信実態を照合。
3) 復旧後の状態を確認。
</t>
  </si>
  <si>
    <t xml:space="preserve">1) DBファイルを読取専用化して送信。
2) DB内容・Senderログ・送信実態を照合。
3) 復旧後の状態を確認。
</t>
  </si>
  <si>
    <t xml:space="preserve">1) 別プロセスでDBをロック中に送信。
2) DB内容・Senderログ・送信実態を照合。
3) 復旧後の状態を確認。
</t>
  </si>
  <si>
    <t xml:space="preserve">1) コピーしたDBを意図的に破損して起動。
2) DB内容・Senderログ・送信実態を照合。
3) 復旧後の状態を確認。
</t>
  </si>
  <si>
    <t xml:space="preserve">1) DB配置ディスクを安全なテスト方法で容量逼迫させる。
2) DB内容・Senderログ・送信実態を照合。
3) 復旧後の状態を確認。
</t>
  </si>
  <si>
    <t xml:space="preserve">1) DB更新タイミングでSenderを強制停止。
2) DB内容・Senderログ・送信実態を照合。
3) 復旧後の状態を確認。
</t>
  </si>
  <si>
    <t xml:space="preserve">1) 同一ファイルを再送させDBレコードを確認。
2) DB内容・Senderログ・送信実態を照合。
3) 復旧後の状態を確認。
</t>
  </si>
  <si>
    <t xml:space="preserve">1) 一度通信失敗させ、その後復旧し再送成功させる。
2) DB内容・Senderログ・送信実態を照合。
3) 復旧後の状態を確認。
</t>
  </si>
  <si>
    <t xml:space="preserve">1) DBロック等を送信完了付近で発生させる。
2) DB内容・Senderログ・送信実態を照合。
3) 復旧後の状態を確認。
</t>
  </si>
  <si>
    <t xml:space="preserve">1) テスト環境で時刻を前後させ処理する。
2) DB内容・Senderログ・送信実態を照合。
3) 復旧後の状態を確認。
</t>
  </si>
  <si>
    <t xml:space="preserve">1) バックアップした旧/変更スキーマDBで起動。
2) DB内容・Senderログ・送信実態を照合。
3) 復旧後の状態を確認。
</t>
  </si>
  <si>
    <t xml:space="preserve">1) 長いエラー内容が発生する条件で処理。
2) DB内容・Senderログ・送信実態を照合。
3) 復旧後の状態を確認。
</t>
  </si>
  <si>
    <t xml:space="preserve">1) 複数ファイルを同時送信しDB更新を重ねる。
2) DB内容・Senderログ・送信実態を照合。
3) 復旧後の状態を確認。
</t>
  </si>
  <si>
    <t xml:space="preserve">1) 大量履歴を作成し新規送信を行う。
2) DB内容・Senderログ・送信実態を照合。
3) 復旧後の状態を確認。
</t>
  </si>
  <si>
    <t xml:space="preserve">1) DBロック/権限異常を解除して未完了処理を再開。
2) DB内容・Senderログ・送信実態を照合。
3) 復旧後の状態を確認。
</t>
  </si>
  <si>
    <t xml:space="preserve">1) 0 byteをSenderから送信させる。
2) Receiver受信状態・保存ファイル・後段状態を確認。
3) 復旧後の再受信を確認。
</t>
  </si>
  <si>
    <t xml:space="preserve">1) 途中切断等で部分受信を発生。
2) Receiver受信状態・保存ファイル・後段状態を確認。
3) 復旧後の再受信を確認。
</t>
  </si>
  <si>
    <t xml:space="preserve">1) ACK欠落等で同一ファイルを再送。
2) Receiver受信状態・保存ファイル・後段状態を確認。
3) 復旧後の再受信を確認。
</t>
  </si>
  <si>
    <t xml:space="preserve">1) 受信先ディスクを安全に容量逼迫。
2) Receiver受信状態・保存ファイル・後段状態を確認。
3) 復旧後の再受信を確認。
</t>
  </si>
  <si>
    <t xml:space="preserve">1) 受信先を書込不可にして送信。
2) Receiver受信状態・保存ファイル・後段状態を確認。
3) 復旧後の再受信を確認。
</t>
  </si>
  <si>
    <t xml:space="preserve">1) Receiver停止中に受信先を退避して起動。
2) Receiver受信状態・保存ファイル・後段状態を確認。
3) 復旧後の再受信を確認。
</t>
  </si>
  <si>
    <t xml:space="preserve">1) 受信先に同名ファイルを事前配置して送信。
2) Receiver受信状態・保存ファイル・後段状態を確認。
3) 復旧後の再受信を確認。
</t>
  </si>
  <si>
    <t xml:space="preserve">1) 大容量受信中にReceiver停止/再起動。
2) Receiver受信状態・保存ファイル・後段状態を確認。
3) 復旧後の再受信を確認。
</t>
  </si>
  <si>
    <t xml:space="preserve">1) 3種を同時転送。
2) Receiver受信状態・保存ファイル・後段状態を確認。
3) 復旧後の再受信を確認。
</t>
  </si>
  <si>
    <t xml:space="preserve">1) 大量ファイルを短時間に送信。
2) Receiver受信状態・保存ファイル・後段状態を確認。
3) 復旧後の再受信を確認。
</t>
  </si>
  <si>
    <t xml:space="preserve">1) 可能ならReceiverへ想定外種別を送信。
2) Receiver受信状態・保存ファイル・後段状態を確認。
3) 復旧後の再受信を確認。
</t>
  </si>
  <si>
    <t xml:space="preserve">1) 特殊文字名を送信可能な範囲で作成。
2) Receiver受信状態・保存ファイル・後段状態を確認。
3) 復旧後の再受信を確認。
</t>
  </si>
  <si>
    <t xml:space="preserve">1) テストフック等で ../ 相当の名称を送る。
2) Receiver受信状態・保存ファイル・後段状態を確認。
3) 復旧後の再受信を確認。
</t>
  </si>
  <si>
    <t xml:space="preserve">1) InfluxDB/PostgreSQL等を停止して送信。
2) Receiver受信状態・保存ファイル・後段状態を確認。
3) 復旧後の再受信を確認。
</t>
  </si>
  <si>
    <t xml:space="preserve">1) DB処理を遅延させ大量受信。
2) Receiver受信状態・保存ファイル・後段状態を確認。
3) 復旧後の再受信を確認。
</t>
  </si>
  <si>
    <t xml:space="preserve">1) テスト環境で受信直後ファイルを破損させ後段処理。
2) Receiver受信状態・保存ファイル・後段状態を確認。
3) 復旧後の再受信を確認。
</t>
  </si>
  <si>
    <t xml:space="preserve">1) Receiver停止中にSender側へファイル投入後、Receiver復旧。
2) Receiver受信状態・保存ファイル・後段状態を確認。
3) 復旧後の再受信を確認。
</t>
  </si>
  <si>
    <t xml:space="preserve">1) 隔離環境で受信前後に時刻変更。
2) Receiver受信状態・保存ファイル・後段状態を確認。
3) 復旧後の再受信を確認。
</t>
  </si>
  <si>
    <t xml:space="preserve">1) SQLiteを読取専用にして受信。
2) SQLite状態と実ファイル/実DB登録を照合。
3) 復旧後の最終状態を確認。
</t>
  </si>
  <si>
    <t xml:space="preserve">1) DBロック中にファイル受信。
2) SQLite状態と実ファイル/実DB登録を照合。
3) 復旧後の最終状態を確認。
</t>
  </si>
  <si>
    <t xml:space="preserve">1) 破損コピーでReceiver起動。
2) SQLite状態と実ファイル/実DB登録を照合。
3) 復旧後の最終状態を確認。
</t>
  </si>
  <si>
    <t xml:space="preserve">1) 状態更新タイミングで強制停止。
2) SQLite状態と実ファイル/実DB登録を照合。
3) 復旧後の最終状態を確認。
</t>
  </si>
  <si>
    <t xml:space="preserve">1) PostgreSQL/InfluxDBを停止して受信。
2) SQLite状態と実ファイル/実DB登録を照合。
3) 復旧後の最終状態を確認。
</t>
  </si>
  <si>
    <t xml:space="preserve">1) DB停止で失敗後にDB復旧。
2) SQLite状態と実ファイル/実DB登録を照合。
3) 復旧後の最終状態を確認。
</t>
  </si>
  <si>
    <t xml:space="preserve">1) 登録完了付近でSQLiteをロック。
2) SQLite状態と実ファイル/実DB登録を照合。
3) 復旧後の最終状態を確認。
</t>
  </si>
  <si>
    <t xml:space="preserve">1) 同一ファイルを再受信/再処理。
2) SQLite状態と実ファイル/実DB登録を照合。
3) 復旧後の最終状態を確認。
</t>
  </si>
  <si>
    <t xml:space="preserve">1) 各ファイルの到着/登録順を変える。
2) SQLite状態と実ファイル/実DB登録を照合。
3) 復旧後の最終状態を確認。
</t>
  </si>
  <si>
    <t xml:space="preserve">1) 容量不足状態で受信/登録。
2) SQLite状態と実ファイル/実DB登録を照合。
3) 復旧後の最終状態を確認。
</t>
  </si>
  <si>
    <t xml:space="preserve">1) 時刻を前後させ登録。
2) SQLite状態と実ファイル/実DB登録を照合。
3) 復旧後の最終状態を確認。
</t>
  </si>
  <si>
    <t xml:space="preserve">1) 大量の受信/登録履歴を作成。
2) SQLite状態と実ファイル/実DB登録を照合。
3) 復旧後の最終状態を確認。
</t>
  </si>
  <si>
    <t xml:space="preserve">1) 旧/変更スキーマでReceiver起動。
2) SQLite状態と実ファイル/実DB登録を照合。
3) 復旧後の最終状態を確認。
</t>
  </si>
  <si>
    <t xml:space="preserve">1) ロック/権限障害後に復旧。
2) SQLite状態と実ファイル/実DB登録を照合。
3) 復旧後の最終状態を確認。
</t>
  </si>
  <si>
    <t xml:space="preserve">1) 対象名の0 byteファイルを配置。
2) 監視周期後の処理を確認。
</t>
  </si>
  <si>
    <t xml:space="preserve">1) ヘッダのみ等の短いファイルを配置。
2) 取得・後続処理を確認。
</t>
  </si>
  <si>
    <t xml:space="preserve">1) 想定最大付近またはそれ以上のファイルを配置。
2) 取得時間と状態を確認。
</t>
  </si>
  <si>
    <t xml:space="preserve">1) 命名規則から1文字ずらしたファイルを配置。
2) 取得有無を確認。
</t>
  </si>
  <si>
    <t xml:space="preserve">1) 正しいベース名で拡張子のみ変更。
2) 取得有無を確認。
</t>
  </si>
  <si>
    <t xml:space="preserve">1) 一度処理済みの同名ファイルを再配置。
2) 再取得・履歴を確認。
</t>
  </si>
  <si>
    <t xml:space="preserve">1) txt/tmp/bak等を正常3ファイルと同時配置。
2) 処理確認。
</t>
  </si>
  <si>
    <t xml:space="preserve">1) 検出タイミングに合わせファイルを削除。
2) 例外・再試行を確認。
</t>
  </si>
  <si>
    <t xml:space="preserve">1) 読込中に同名ファイルを置換。
2) 送信内容・履歴を確認。
</t>
  </si>
  <si>
    <t xml:space="preserve">1) 許容範囲付近までパス/名称を長くする。
2) 取得を確認。
</t>
  </si>
  <si>
    <t xml:space="preserve">1) PROCESS→EVENT→SAMPLINGの順に時間差で配置。
2) 全ファイル取得まで待つ。
3) 履歴を確認。
</t>
  </si>
  <si>
    <t xml:space="preserve">1) 2ファイル配置。
2) 複数監視周期後に残り1ファイルを配置。
3) 取得状況を確認。
</t>
  </si>
  <si>
    <t xml:space="preserve">1) 大きなファイルを低速で監視フォルダへ書込む。
2) 書込み中に監視周期を跨ぐ。
3) 取得開始有無を確認。
</t>
  </si>
  <si>
    <t xml:space="preserve">1) 対象ファイルを排他ロック。
2) 監視周期を跨ぐ。
3) ロック解除後も確認。
</t>
  </si>
  <si>
    <t xml:space="preserve">1) 対象ファイルの読取権限を外す。
2) 取得を待つ。
3) 権限復旧。
</t>
  </si>
  <si>
    <t xml:space="preserve">1) Sender停止中に監視フォルダをリネーム/削除。
2) Sender起動。
3) 状態確認。
</t>
  </si>
  <si>
    <t xml:space="preserve">1) フォルダの読取権限を拒否。
2) 監視周期を跨ぐ。
3) 復旧。
</t>
  </si>
  <si>
    <t xml:space="preserve">1) 多数セットを一括配置。
2) 全件処理数を照合。
3) 処理時間・負荷確認。
</t>
  </si>
  <si>
    <t xml:space="preserve">1) ログフォルダを退避/削除して処理。
2) Sender処理を実行。
3) ログ内容と本処理結果を照合。
</t>
  </si>
  <si>
    <t xml:space="preserve">1) ログフォルダを書込不可にして送信。
2) Sender処理を実行。
3) ログ内容と本処理結果を照合。
</t>
  </si>
  <si>
    <t xml:space="preserve">1) 安全なテスト領域で容量不足を発生。
2) Sender処理を実行。
3) ログ内容と本処理結果を照合。
</t>
  </si>
  <si>
    <t xml:space="preserve">1) 現在ログをロックして処理を発生。
2) Sender処理を実行。
3) ログ内容と本処理結果を照合。
</t>
  </si>
  <si>
    <t xml:space="preserve">1) サイズ/日付境界付近で大量イベントを発生。
2) Sender処理を実行。
3) ログ内容と本処理結果を照合。
</t>
  </si>
  <si>
    <t xml:space="preserve">1) 連続ログ出力中にSenderを再起動。
2) Sender処理を実行。
3) ログ内容と本処理結果を照合。
</t>
  </si>
  <si>
    <t xml:space="preserve">1) 日本語/記号を含む対象名またはエラー情報を生成。
2) Sender処理を実行。
3) ログ内容と本処理結果を照合。
</t>
  </si>
  <si>
    <t xml:space="preserve">1) 隔離環境で時刻変更前後に処理。
2) Sender処理を実行。
3) ログ内容と本処理結果を照合。
</t>
  </si>
  <si>
    <t xml:space="preserve">1) 多数の送信失敗を短時間に発生。
2) Sender処理を実行。
3) ログ内容と本処理結果を照合。
</t>
  </si>
  <si>
    <t xml:space="preserve">1) 1件を失敗→再送成功させログを追跡。
2) Sender処理を実行。
3) ログ内容と本処理結果を照合。
</t>
  </si>
  <si>
    <t xml:space="preserve">1) 権限/サービス等で可能ならCPUカウンタ取得不能状態を作る。
2) C～E処理を実行。
3) OS測定記録と処理時刻を照合。
</t>
  </si>
  <si>
    <t xml:space="preserve">1) CPU負荷を高めた状態で複数送信。
2) C～E処理を実行。
3) OS測定記録と処理時刻を照合。
</t>
  </si>
  <si>
    <t xml:space="preserve">1) 安全範囲でメモリ負荷を上げ送信。
2) C～E処理を実行。
3) OS測定記録と処理時刻を照合。
</t>
  </si>
  <si>
    <t xml:space="preserve">1) 別処理でディスクI/O負荷を付与し送信。
2) C～E処理を実行。
3) OS測定記録と処理時刻を照合。
</t>
  </si>
  <si>
    <t xml:space="preserve">1) 同一NICへ負荷を付与して送信。
2) C～E処理を実行。
3) OS測定記録と処理時刻を照合。
</t>
  </si>
  <si>
    <t xml:space="preserve">1) 送信中にNICを無効化。
2) C～E処理を実行。
3) OS測定記録と処理時刻を照合。
</t>
  </si>
  <si>
    <t xml:space="preserve">1) 測定中に時刻を変更。
2) C～E処理を実行。
3) OS測定記録と処理時刻を照合。
</t>
  </si>
  <si>
    <t xml:space="preserve">1) 長時間連続送信・測定する。
2) C～E処理を実行。
3) OS測定記録と処理時刻を照合。
</t>
  </si>
  <si>
    <t xml:space="preserve">1) 測定に必要な権限を制限。
2) C～E処理を実行。
3) OS測定記録と処理時刻を照合。
</t>
  </si>
  <si>
    <t xml:space="preserve">1) モック/制御可能ならNULL/異常値を発生。
2) C～E処理を実行。
3) OS測定記録と処理時刻を照合。
</t>
  </si>
  <si>
    <t xml:space="preserve">1) 負荷を一定時間付与後に解除。
2) C～E処理を実行。
3) OS測定記録と処理時刻を照合。
</t>
  </si>
  <si>
    <t xml:space="preserve">1) 通信失敗・DBロック・ログ障害を別々に発生。
2) C～E処理を実行。
3) OS測定記録と処理時刻を照合。
</t>
  </si>
  <si>
    <t xml:space="preserve">1) ログ先を退避/削除して受信。
2) 受信/登録処理を行う。
3) ログと実処理結果を照合。
</t>
  </si>
  <si>
    <t xml:space="preserve">1) ログ先を書込不可にして受信。
2) 受信/登録処理を行う。
3) ログと実処理結果を照合。
</t>
  </si>
  <si>
    <t xml:space="preserve">1) 安全な領域で容量不足を作り受信。
2) 受信/登録処理を行う。
3) ログと実処理結果を照合。
</t>
  </si>
  <si>
    <t xml:space="preserve">1) 大量受信でローテーションを跨ぐ。
2) 受信/登録処理を行う。
3) ログと実処理結果を照合。
</t>
  </si>
  <si>
    <t xml:space="preserve">1) 連続受信中にReceiverを再起動。
2) 受信/登録処理を行う。
3) ログと実処理結果を照合。
</t>
  </si>
  <si>
    <t xml:space="preserve">1) DB停止→復旧で1件を失敗/成功させる。
2) 受信/登録処理を行う。
3) ログと実処理結果を照合。
</t>
  </si>
  <si>
    <t xml:space="preserve">1) 特殊文字を含むファイル名/エラーを発生。
2) 受信/登録処理を行う。
3) ログと実処理結果を照合。
</t>
  </si>
  <si>
    <t xml:space="preserve">1) DB停止中に多数受信させる。
2) 受信/登録処理を行う。
3) ログと実処理結果を照合。
</t>
  </si>
  <si>
    <t xml:space="preserve">1) CPU負荷を高め多数受信。
2) G～I処理を実行。
3) OS状態記録と処理時刻を照合。
</t>
  </si>
  <si>
    <t xml:space="preserve">1) 安全範囲でメモリ負荷を付与。
2) G～I処理を実行。
3) OS状態記録と処理時刻を照合。
</t>
  </si>
  <si>
    <t xml:space="preserve">1) I/O負荷を付与して連続受信。
2) G～I処理を実行。
3) OS状態記録と処理時刻を照合。
</t>
  </si>
  <si>
    <t xml:space="preserve">1) 同一NICへ別通信負荷を付与。
2) G～I処理を実行。
3) OS状態記録と処理時刻を照合。
</t>
  </si>
  <si>
    <t xml:space="preserve">1) 権限等で可能ならカウンタ取得不可状態を作る。
2) G～I処理を実行。
3) OS状態記録と処理時刻を照合。
</t>
  </si>
  <si>
    <t xml:space="preserve">1) 受信～DB登録中に時刻を変更。
2) G～I処理を実行。
3) OS状態記録と処理時刻を照合。
</t>
  </si>
  <si>
    <t xml:space="preserve">1) 長時間連続受信を実施。
2) G～I処理を実行。
3) OS状態記録と処理時刻を照合。
</t>
  </si>
  <si>
    <t xml:space="preserve">1) 受信先障害・SQLiteロック・ログ障害を発生。
2) G～I処理を実行。
3) OS状態記録と処理時刻を照合。
</t>
  </si>
  <si>
    <t xml:space="preserve">1) 高負荷を一定時間付与後解除。
2) G～I処理を実行。
3) OS状態記録と処理時刻を照合。
</t>
  </si>
  <si>
    <t xml:space="preserve">1) 複数NICがある環境で送受信。
2) G～I処理を実行。
3) OS状態記録と処理時刻を照合。
</t>
  </si>
  <si>
    <t>図B：ULAgent Sender／指定フォルダ監視・対象3ファイル取得</t>
  </si>
  <si>
    <t>図G：ULAgent Receiver／ファイル受信</t>
  </si>
  <si>
    <t>図K：ULsight／登録データの画面表示確認</t>
  </si>
  <si>
    <t xml:space="preserve">1) EVENT/PROCESSのみDB登録状態を作る。
2) ULsightで対象画面を開く。
3) 表示内容をDB/上流履歴と照合。
</t>
  </si>
  <si>
    <t>ULsight画面、InfluxDB、PostgreSQL、Receiver SQLite</t>
  </si>
  <si>
    <t xml:space="preserve">1) SAMPLING/PROCESSのみ登録。
2) ULsightで対象画面を開く。
3) 表示内容をDB/上流履歴と照合。
</t>
  </si>
  <si>
    <t xml:space="preserve">1) SAMPLING/EVENTのみ登録。
2) ULsightで対象画面を開く。
3) 表示内容をDB/上流履歴と照合。
</t>
  </si>
  <si>
    <t xml:space="preserve">1) 同一ファイル再送ケースを実行。
2) ULsightで対象画面を開く。
3) 表示内容をDB/上流履歴と照合。
</t>
  </si>
  <si>
    <t xml:space="preserve">1) DB登録を遅延させ後から成功させる。
2) ULsightで対象画面を開く。
3) 表示内容をDB/上流履歴と照合。
</t>
  </si>
  <si>
    <t xml:space="preserve">1) 古い/新しい時刻データを逆順で登録。
2) ULsightで対象画面を開く。
3) 表示内容をDB/上流履歴と照合。
</t>
  </si>
  <si>
    <t xml:space="preserve">1) 未来時刻のテストデータを登録。
2) ULsightで対象画面を開く。
3) 表示内容をDB/上流履歴と照合。
</t>
  </si>
  <si>
    <t xml:space="preserve">1) 古い時刻データを登録。
2) ULsightで対象画面を開く。
3) 表示内容をDB/上流履歴と照合。
</t>
  </si>
  <si>
    <t xml:space="preserve">1) 仕様最大/最小付近のSAMPLING値を登録。
2) ULsightで対象画面を開く。
3) 表示内容をDB/上流履歴と照合。
</t>
  </si>
  <si>
    <t xml:space="preserve">1) NULL/空相当を含むテストデータを登録。
2) ULsightで対象画面を開く。
3) 表示内容をDB/上流履歴と照合。
</t>
  </si>
  <si>
    <t xml:space="preserve">1) 日本語/記号を含むEVENTデータを登録。
2) ULsightで対象画面を開く。
3) 表示内容をDB/上流履歴と照合。
</t>
  </si>
  <si>
    <t xml:space="preserve">1) 長いイベント文字列を登録。
2) ULsightで対象画面を開く。
3) 表示内容をDB/上流履歴と照合。
</t>
  </si>
  <si>
    <t xml:space="preserve">1) 大量時系列データを登録し対象期間を表示。
2) ULsightで対象画面を開く。
3) 表示内容をDB/上流履歴と照合。
</t>
  </si>
  <si>
    <t xml:space="preserve">1) 多数レコードを登録し一覧表示。
2) ULsightで対象画面を開く。
3) 表示内容をDB/上流履歴と照合。
</t>
  </si>
  <si>
    <t xml:space="preserve">1) InfluxDBを停止して該当画面を開く。
2) ULsightで対象画面を開く。
3) 表示内容をDB/上流履歴と照合。
</t>
  </si>
  <si>
    <t xml:space="preserve">1) PostgreSQLを停止して画面表示。
2) ULsightで対象画面を開く。
3) 表示内容をDB/上流履歴と照合。
</t>
  </si>
  <si>
    <t xml:space="preserve">1) DB停止状態で画面確認後、DB復旧し再表示。
2) ULsightで対象画面を開く。
3) 表示内容をDB/上流履歴と照合。
</t>
  </si>
  <si>
    <t xml:space="preserve">1) 画面表示中に新規データを登録し更新操作。
2) ULsightで対象画面を開く。
3) 表示内容をDB/上流履歴と照合。
</t>
  </si>
  <si>
    <t xml:space="preserve">1) 再送/復旧後の代表データをDB直接値と比較。
2) ULsightで対象画面を開く。
3) 表示内容をDB/上流履歴と照合。
</t>
  </si>
  <si>
    <t xml:space="preserve">1) 不正レコードを混在させ登録処理を実行。
2) ULsightで対象画面を開く。
3) 表示内容をDB/上流履歴と照合。
</t>
  </si>
  <si>
    <t xml:space="preserve">1) 各種別を登録しDBと画面の対応を照合。
2) ULsightで対象画面を開く。
3) 表示内容をDB/上流履歴と照合。
</t>
  </si>
  <si>
    <t>ULsight再起動後の表示</t>
  </si>
  <si>
    <t xml:space="preserve">1) 異常系処理後にULsightを再起動して同データを表示。
2) ULsightで対象画面を開く。
3) 表示内容をDB/上流履歴と照合。
</t>
  </si>
  <si>
    <t>ULsightサービス操作</t>
  </si>
  <si>
    <t>ULsight画面表示</t>
  </si>
  <si>
    <t>ULsight側リソース測定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</si>
</sst>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sz val="11"/>
      <name val="Carlito"/>
    </font>
    <font>
      <sz val="6"/>
      <name val="ＭＳ Ｐゴシック"/>
      <family val="3"/>
      <charset val="128"/>
    </font>
    <font>
      <b/>
      <sz val="11"/>
      <color rgb="FFFFFFFF"/>
      <name val="メイリオ"/>
      <family val="3"/>
      <charset val="128"/>
    </font>
    <font>
      <sz val="11"/>
      <name val="メイリオ"/>
      <family val="3"/>
      <charset val="128"/>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5">
    <xf numFmtId="0" fontId="0" fillId="0" borderId="0" xfId="0"/>
    <xf numFmtId="0" fontId="1" fillId="2" borderId="0" xfId="1" applyFont="1" applyFill="1" applyAlignment="1">
      <alignment horizontal="center" vertical="center" wrapText="1"/>
    </xf>
    <xf numFmtId="0" fontId="0" fillId="0" borderId="0" xfId="1" applyFont="1" applyAlignment="1">
      <alignment wrapText="1"/>
    </xf>
    <xf numFmtId="0" fontId="4" fillId="2" borderId="0" xfId="1" applyFont="1" applyFill="1" applyAlignment="1">
      <alignment horizontal="center" vertical="top" wrapText="1"/>
    </xf>
    <xf numFmtId="0" fontId="5" fillId="0" borderId="0" xfId="1" applyFont="1" applyAlignment="1">
      <alignment vertical="top" wrapText="1"/>
    </xf>
  </cellXfs>
  <cellStyles count="2">
    <cellStyle name="Normal" xfId="1" xr:uid="{00000000-0005-0000-0000-000000000000}"/>
    <cellStyle name="標準" xfId="0" builtinId="0"/>
  </cellStyles>
  <dxfs count="25">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ont>
        <strike val="0"/>
        <outline val="0"/>
        <shadow val="0"/>
        <u val="none"/>
        <vertAlign val="baseline"/>
        <sz val="11"/>
        <name val="メイリオ"/>
        <family val="3"/>
        <charset val="128"/>
        <scheme val="none"/>
      </font>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rregularTestCases" displayName="IrregularTestCases" ref="A1:S153" totalsRowShown="0" headerRowDxfId="1" dataDxfId="0">
  <tableColumns count="19">
    <tableColumn id="1" xr3:uid="{00000000-0010-0000-0000-000001000000}" name="No." dataDxfId="20"/>
    <tableColumn id="2" xr3:uid="{00000000-0010-0000-0000-000002000000}" name="試験ID" dataDxfId="19"/>
    <tableColumn id="3" xr3:uid="{00000000-0010-0000-0000-000003000000}" name="対象" dataDxfId="18"/>
    <tableColumn id="4" xr3:uid="{00000000-0010-0000-0000-000004000000}" name="対象ドキュメント箇所" dataDxfId="17"/>
    <tableColumn id="5" xr3:uid="{00000000-0010-0000-0000-000005000000}" name="分類" dataDxfId="16"/>
    <tableColumn id="6" xr3:uid="{00000000-0010-0000-0000-000006000000}" name="試験項目" dataDxfId="15"/>
    <tableColumn id="7" xr3:uid="{00000000-0010-0000-0000-000007000000}" name="なぜ必要か" dataDxfId="14"/>
    <tableColumn id="8" xr3:uid="{00000000-0010-0000-0000-000008000000}" name="前提条件" dataDxfId="13"/>
    <tableColumn id="9" xr3:uid="{00000000-0010-0000-0000-000009000000}" name="手順" dataDxfId="12"/>
    <tableColumn id="10" xr3:uid="{00000000-0010-0000-0000-00000A000000}" name="期待結果" dataDxfId="11"/>
    <tableColumn id="11" xr3:uid="{00000000-0010-0000-0000-00000B000000}" name="確認箇所" dataDxfId="10"/>
    <tableColumn id="12" xr3:uid="{00000000-0010-0000-0000-00000C000000}" name="復旧確認" dataDxfId="9"/>
    <tableColumn id="13" xr3:uid="{00000000-0010-0000-0000-00000D000000}" name="優先順位" dataDxfId="8"/>
    <tableColumn id="14" xr3:uid="{00000000-0010-0000-0000-00000E000000}" name="実施可否（暫定）" dataDxfId="7"/>
    <tableColumn id="15" xr3:uid="{00000000-0010-0000-0000-00000F000000}" name="必要手段・環境" dataDxfId="6"/>
    <tableColumn id="16" xr3:uid="{00000000-0010-0000-0000-000010000000}" name="要仕様確認事項" dataDxfId="5"/>
    <tableColumn id="17" xr3:uid="{00000000-0010-0000-0000-000011000000}" name="備考" dataDxfId="4"/>
    <tableColumn id="18" xr3:uid="{00000000-0010-0000-0000-000012000000}" name="実施結果" dataDxfId="3"/>
    <tableColumn id="19" xr3:uid="{00000000-0010-0000-0000-000013000000}" name="判定"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rossScenarios" displayName="CrossScenarios" ref="A1:H16" totalsRowShown="0">
  <tableColumns count="8">
    <tableColumn id="1" xr3:uid="{00000000-0010-0000-0100-000001000000}" name="ID"/>
    <tableColumn id="2" xr3:uid="{00000000-0010-0000-0100-000002000000}" name="対象"/>
    <tableColumn id="3" xr3:uid="{00000000-0010-0000-0100-000003000000}" name="横断シナリオ"/>
    <tableColumn id="4" xr3:uid="{00000000-0010-0000-0100-000004000000}" name="目的"/>
    <tableColumn id="5" xr3:uid="{00000000-0010-0000-0100-000005000000}" name="前提/手順"/>
    <tableColumn id="6" xr3:uid="{00000000-0010-0000-0100-000006000000}" name="期待結果"/>
    <tableColumn id="7" xr3:uid="{00000000-0010-0000-0100-000007000000}" name="優先順位"/>
    <tableColumn id="8" xr3:uid="{00000000-0010-0000-0100-000008000000}" name="実施可否（暫定）"/>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3"/>
  <sheetViews>
    <sheetView tabSelected="1" zoomScale="85" zoomScaleNormal="85" workbookViewId="0"/>
  </sheetViews>
  <sheetFormatPr defaultRowHeight="14.25"/>
  <cols>
    <col min="1" max="1" width="7" customWidth="1"/>
    <col min="2" max="2" width="10" customWidth="1"/>
    <col min="3" max="3" width="7" customWidth="1"/>
    <col min="4" max="4" width="32" customWidth="1"/>
    <col min="5" max="5" width="14" customWidth="1"/>
    <col min="6" max="6" width="30" customWidth="1"/>
    <col min="7" max="8" width="34" customWidth="1"/>
    <col min="9" max="9" width="61" bestFit="1" customWidth="1"/>
    <col min="10" max="10" width="44" customWidth="1"/>
    <col min="11" max="11" width="30" customWidth="1"/>
    <col min="12" max="12" width="34" customWidth="1"/>
    <col min="13" max="13" width="10" customWidth="1"/>
    <col min="14" max="14" width="15" customWidth="1"/>
    <col min="15" max="15" width="26" customWidth="1"/>
    <col min="16" max="16" width="28" customWidth="1"/>
    <col min="17" max="17" width="24" customWidth="1"/>
    <col min="18" max="19" width="12" customWidth="1"/>
  </cols>
  <sheetData>
    <row r="1" spans="1:19" ht="37.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75">
      <c r="A2" s="4">
        <v>1</v>
      </c>
      <c r="B2" s="4" t="s">
        <v>19</v>
      </c>
      <c r="C2" s="4" t="s">
        <v>20</v>
      </c>
      <c r="D2" s="4" t="s">
        <v>1200</v>
      </c>
      <c r="E2" s="4" t="s">
        <v>21</v>
      </c>
      <c r="F2" s="4" t="s">
        <v>22</v>
      </c>
      <c r="G2" s="4" t="s">
        <v>23</v>
      </c>
      <c r="H2" s="4" t="s">
        <v>24</v>
      </c>
      <c r="I2" s="4" t="s">
        <v>1070</v>
      </c>
      <c r="J2" s="4" t="s">
        <v>25</v>
      </c>
      <c r="K2" s="4" t="s">
        <v>26</v>
      </c>
      <c r="L2" s="4" t="s">
        <v>27</v>
      </c>
      <c r="M2" s="4" t="s">
        <v>28</v>
      </c>
      <c r="N2" s="4" t="s">
        <v>29</v>
      </c>
      <c r="O2" s="4"/>
      <c r="P2" s="4" t="s">
        <v>30</v>
      </c>
      <c r="Q2" s="4"/>
      <c r="R2" s="4"/>
      <c r="S2" s="4"/>
    </row>
    <row r="3" spans="1:19" ht="75">
      <c r="A3" s="4">
        <v>2</v>
      </c>
      <c r="B3" s="4" t="s">
        <v>31</v>
      </c>
      <c r="C3" s="4" t="s">
        <v>20</v>
      </c>
      <c r="D3" s="4" t="s">
        <v>1200</v>
      </c>
      <c r="E3" s="4" t="s">
        <v>21</v>
      </c>
      <c r="F3" s="4" t="s">
        <v>32</v>
      </c>
      <c r="G3" s="4" t="s">
        <v>23</v>
      </c>
      <c r="H3" s="4" t="s">
        <v>24</v>
      </c>
      <c r="I3" s="4" t="s">
        <v>1071</v>
      </c>
      <c r="J3" s="4" t="s">
        <v>25</v>
      </c>
      <c r="K3" s="4" t="s">
        <v>26</v>
      </c>
      <c r="L3" s="4" t="s">
        <v>27</v>
      </c>
      <c r="M3" s="4" t="s">
        <v>28</v>
      </c>
      <c r="N3" s="4" t="s">
        <v>29</v>
      </c>
      <c r="O3" s="4"/>
      <c r="P3" s="4" t="s">
        <v>30</v>
      </c>
      <c r="Q3" s="4"/>
      <c r="R3" s="4"/>
      <c r="S3" s="4"/>
    </row>
    <row r="4" spans="1:19" ht="75">
      <c r="A4" s="4">
        <v>3</v>
      </c>
      <c r="B4" s="4" t="s">
        <v>33</v>
      </c>
      <c r="C4" s="4" t="s">
        <v>20</v>
      </c>
      <c r="D4" s="4" t="s">
        <v>1200</v>
      </c>
      <c r="E4" s="4" t="s">
        <v>21</v>
      </c>
      <c r="F4" s="4" t="s">
        <v>34</v>
      </c>
      <c r="G4" s="4" t="s">
        <v>23</v>
      </c>
      <c r="H4" s="4" t="s">
        <v>24</v>
      </c>
      <c r="I4" s="4" t="s">
        <v>1072</v>
      </c>
      <c r="J4" s="4" t="s">
        <v>25</v>
      </c>
      <c r="K4" s="4" t="s">
        <v>26</v>
      </c>
      <c r="L4" s="4" t="s">
        <v>27</v>
      </c>
      <c r="M4" s="4" t="s">
        <v>28</v>
      </c>
      <c r="N4" s="4" t="s">
        <v>29</v>
      </c>
      <c r="O4" s="4"/>
      <c r="P4" s="4" t="s">
        <v>30</v>
      </c>
      <c r="Q4" s="4"/>
      <c r="R4" s="4"/>
      <c r="S4" s="4"/>
    </row>
    <row r="5" spans="1:19" ht="75">
      <c r="A5" s="4">
        <v>4</v>
      </c>
      <c r="B5" s="4" t="s">
        <v>35</v>
      </c>
      <c r="C5" s="4" t="s">
        <v>20</v>
      </c>
      <c r="D5" s="4" t="s">
        <v>1200</v>
      </c>
      <c r="E5" s="4" t="s">
        <v>36</v>
      </c>
      <c r="F5" s="4" t="s">
        <v>37</v>
      </c>
      <c r="G5" s="4" t="s">
        <v>38</v>
      </c>
      <c r="H5" s="4" t="s">
        <v>39</v>
      </c>
      <c r="I5" s="4" t="s">
        <v>1152</v>
      </c>
      <c r="J5" s="4" t="s">
        <v>40</v>
      </c>
      <c r="K5" s="4" t="s">
        <v>41</v>
      </c>
      <c r="L5" s="4" t="s">
        <v>27</v>
      </c>
      <c r="M5" s="4" t="s">
        <v>28</v>
      </c>
      <c r="N5" s="4" t="s">
        <v>29</v>
      </c>
      <c r="O5" s="4"/>
      <c r="P5" s="4"/>
      <c r="Q5" s="4"/>
      <c r="R5" s="4"/>
      <c r="S5" s="4"/>
    </row>
    <row r="6" spans="1:19" ht="75">
      <c r="A6" s="4">
        <v>5</v>
      </c>
      <c r="B6" s="4" t="s">
        <v>42</v>
      </c>
      <c r="C6" s="4" t="s">
        <v>20</v>
      </c>
      <c r="D6" s="4" t="s">
        <v>1200</v>
      </c>
      <c r="E6" s="4" t="s">
        <v>43</v>
      </c>
      <c r="F6" s="4" t="s">
        <v>44</v>
      </c>
      <c r="G6" s="4" t="s">
        <v>45</v>
      </c>
      <c r="H6" s="4" t="s">
        <v>46</v>
      </c>
      <c r="I6" s="4" t="s">
        <v>1153</v>
      </c>
      <c r="J6" s="4" t="s">
        <v>47</v>
      </c>
      <c r="K6" s="4" t="s">
        <v>48</v>
      </c>
      <c r="L6" s="4" t="s">
        <v>27</v>
      </c>
      <c r="M6" s="4" t="s">
        <v>28</v>
      </c>
      <c r="N6" s="4" t="s">
        <v>29</v>
      </c>
      <c r="O6" s="4"/>
      <c r="P6" s="4" t="s">
        <v>49</v>
      </c>
      <c r="Q6" s="4"/>
      <c r="R6" s="4"/>
      <c r="S6" s="4"/>
    </row>
    <row r="7" spans="1:19" ht="75">
      <c r="A7" s="4">
        <v>6</v>
      </c>
      <c r="B7" s="4" t="s">
        <v>50</v>
      </c>
      <c r="C7" s="4" t="s">
        <v>20</v>
      </c>
      <c r="D7" s="4" t="s">
        <v>1200</v>
      </c>
      <c r="E7" s="4" t="s">
        <v>51</v>
      </c>
      <c r="F7" s="4" t="s">
        <v>52</v>
      </c>
      <c r="G7" s="4" t="s">
        <v>53</v>
      </c>
      <c r="H7" s="4" t="s">
        <v>54</v>
      </c>
      <c r="I7" s="4" t="s">
        <v>1154</v>
      </c>
      <c r="J7" s="4" t="s">
        <v>55</v>
      </c>
      <c r="K7" s="4" t="s">
        <v>56</v>
      </c>
      <c r="L7" s="4" t="s">
        <v>27</v>
      </c>
      <c r="M7" s="4" t="s">
        <v>28</v>
      </c>
      <c r="N7" s="4" t="s">
        <v>57</v>
      </c>
      <c r="O7" s="4" t="s">
        <v>58</v>
      </c>
      <c r="P7" s="4" t="s">
        <v>59</v>
      </c>
      <c r="Q7" s="4"/>
      <c r="R7" s="4"/>
      <c r="S7" s="4"/>
    </row>
    <row r="8" spans="1:19" ht="56.25">
      <c r="A8" s="4">
        <v>7</v>
      </c>
      <c r="B8" s="4" t="s">
        <v>60</v>
      </c>
      <c r="C8" s="4" t="s">
        <v>20</v>
      </c>
      <c r="D8" s="4" t="s">
        <v>1200</v>
      </c>
      <c r="E8" s="4" t="s">
        <v>51</v>
      </c>
      <c r="F8" s="4" t="s">
        <v>61</v>
      </c>
      <c r="G8" s="4" t="s">
        <v>62</v>
      </c>
      <c r="H8" s="4" t="s">
        <v>54</v>
      </c>
      <c r="I8" s="4" t="s">
        <v>1142</v>
      </c>
      <c r="J8" s="4" t="s">
        <v>63</v>
      </c>
      <c r="K8" s="4" t="s">
        <v>56</v>
      </c>
      <c r="L8" s="4" t="s">
        <v>27</v>
      </c>
      <c r="M8" s="4" t="s">
        <v>28</v>
      </c>
      <c r="N8" s="4" t="s">
        <v>29</v>
      </c>
      <c r="O8" s="4"/>
      <c r="P8" s="4" t="s">
        <v>64</v>
      </c>
      <c r="Q8" s="4"/>
      <c r="R8" s="4"/>
      <c r="S8" s="4"/>
    </row>
    <row r="9" spans="1:19" ht="56.25">
      <c r="A9" s="4">
        <v>8</v>
      </c>
      <c r="B9" s="4" t="s">
        <v>65</v>
      </c>
      <c r="C9" s="4" t="s">
        <v>20</v>
      </c>
      <c r="D9" s="4" t="s">
        <v>1200</v>
      </c>
      <c r="E9" s="4" t="s">
        <v>51</v>
      </c>
      <c r="F9" s="4" t="s">
        <v>66</v>
      </c>
      <c r="G9" s="4" t="s">
        <v>67</v>
      </c>
      <c r="H9" s="4" t="s">
        <v>54</v>
      </c>
      <c r="I9" s="4" t="s">
        <v>1143</v>
      </c>
      <c r="J9" s="4" t="s">
        <v>68</v>
      </c>
      <c r="K9" s="4" t="s">
        <v>56</v>
      </c>
      <c r="L9" s="4" t="s">
        <v>27</v>
      </c>
      <c r="M9" s="4" t="s">
        <v>69</v>
      </c>
      <c r="N9" s="4" t="s">
        <v>29</v>
      </c>
      <c r="O9" s="4"/>
      <c r="P9" s="4" t="s">
        <v>70</v>
      </c>
      <c r="Q9" s="4"/>
      <c r="R9" s="4"/>
      <c r="S9" s="4"/>
    </row>
    <row r="10" spans="1:19" ht="56.25">
      <c r="A10" s="4">
        <v>9</v>
      </c>
      <c r="B10" s="4" t="s">
        <v>71</v>
      </c>
      <c r="C10" s="4" t="s">
        <v>20</v>
      </c>
      <c r="D10" s="4" t="s">
        <v>1200</v>
      </c>
      <c r="E10" s="4" t="s">
        <v>51</v>
      </c>
      <c r="F10" s="4" t="s">
        <v>72</v>
      </c>
      <c r="G10" s="4" t="s">
        <v>73</v>
      </c>
      <c r="H10" s="4" t="s">
        <v>54</v>
      </c>
      <c r="I10" s="4" t="s">
        <v>1144</v>
      </c>
      <c r="J10" s="4" t="s">
        <v>74</v>
      </c>
      <c r="K10" s="4" t="s">
        <v>56</v>
      </c>
      <c r="L10" s="4" t="s">
        <v>27</v>
      </c>
      <c r="M10" s="4" t="s">
        <v>28</v>
      </c>
      <c r="N10" s="4" t="s">
        <v>57</v>
      </c>
      <c r="O10" s="4" t="s">
        <v>75</v>
      </c>
      <c r="P10" s="4" t="s">
        <v>76</v>
      </c>
      <c r="Q10" s="4"/>
      <c r="R10" s="4"/>
      <c r="S10" s="4"/>
    </row>
    <row r="11" spans="1:19" ht="56.25">
      <c r="A11" s="4">
        <v>10</v>
      </c>
      <c r="B11" s="4" t="s">
        <v>77</v>
      </c>
      <c r="C11" s="4" t="s">
        <v>20</v>
      </c>
      <c r="D11" s="4" t="s">
        <v>1200</v>
      </c>
      <c r="E11" s="4" t="s">
        <v>51</v>
      </c>
      <c r="F11" s="4" t="s">
        <v>78</v>
      </c>
      <c r="G11" s="4" t="s">
        <v>79</v>
      </c>
      <c r="H11" s="4" t="s">
        <v>54</v>
      </c>
      <c r="I11" s="4" t="s">
        <v>1145</v>
      </c>
      <c r="J11" s="4" t="s">
        <v>80</v>
      </c>
      <c r="K11" s="4" t="s">
        <v>56</v>
      </c>
      <c r="L11" s="4" t="s">
        <v>27</v>
      </c>
      <c r="M11" s="4" t="s">
        <v>69</v>
      </c>
      <c r="N11" s="4" t="s">
        <v>29</v>
      </c>
      <c r="O11" s="4"/>
      <c r="P11" s="4" t="s">
        <v>81</v>
      </c>
      <c r="Q11" s="4"/>
      <c r="R11" s="4"/>
      <c r="S11" s="4"/>
    </row>
    <row r="12" spans="1:19" ht="56.25">
      <c r="A12" s="4">
        <v>11</v>
      </c>
      <c r="B12" s="4" t="s">
        <v>82</v>
      </c>
      <c r="C12" s="4" t="s">
        <v>20</v>
      </c>
      <c r="D12" s="4" t="s">
        <v>1200</v>
      </c>
      <c r="E12" s="4" t="s">
        <v>51</v>
      </c>
      <c r="F12" s="4" t="s">
        <v>83</v>
      </c>
      <c r="G12" s="4" t="s">
        <v>84</v>
      </c>
      <c r="H12" s="4" t="s">
        <v>54</v>
      </c>
      <c r="I12" s="4" t="s">
        <v>1146</v>
      </c>
      <c r="J12" s="4" t="s">
        <v>85</v>
      </c>
      <c r="K12" s="4" t="s">
        <v>56</v>
      </c>
      <c r="L12" s="4" t="s">
        <v>27</v>
      </c>
      <c r="M12" s="4" t="s">
        <v>69</v>
      </c>
      <c r="N12" s="4" t="s">
        <v>29</v>
      </c>
      <c r="O12" s="4"/>
      <c r="P12" s="4" t="s">
        <v>86</v>
      </c>
      <c r="Q12" s="4"/>
      <c r="R12" s="4"/>
      <c r="S12" s="4"/>
    </row>
    <row r="13" spans="1:19" ht="56.25">
      <c r="A13" s="4">
        <v>12</v>
      </c>
      <c r="B13" s="4" t="s">
        <v>87</v>
      </c>
      <c r="C13" s="4" t="s">
        <v>20</v>
      </c>
      <c r="D13" s="4" t="s">
        <v>1200</v>
      </c>
      <c r="E13" s="4" t="s">
        <v>51</v>
      </c>
      <c r="F13" s="4" t="s">
        <v>88</v>
      </c>
      <c r="G13" s="4" t="s">
        <v>89</v>
      </c>
      <c r="H13" s="4" t="s">
        <v>54</v>
      </c>
      <c r="I13" s="4" t="s">
        <v>1147</v>
      </c>
      <c r="J13" s="4" t="s">
        <v>90</v>
      </c>
      <c r="K13" s="4" t="s">
        <v>56</v>
      </c>
      <c r="L13" s="4" t="s">
        <v>27</v>
      </c>
      <c r="M13" s="4" t="s">
        <v>28</v>
      </c>
      <c r="N13" s="4" t="s">
        <v>29</v>
      </c>
      <c r="O13" s="4"/>
      <c r="P13" s="4" t="s">
        <v>91</v>
      </c>
      <c r="Q13" s="4"/>
      <c r="R13" s="4"/>
      <c r="S13" s="4"/>
    </row>
    <row r="14" spans="1:19" ht="56.25">
      <c r="A14" s="4">
        <v>13</v>
      </c>
      <c r="B14" s="4" t="s">
        <v>92</v>
      </c>
      <c r="C14" s="4" t="s">
        <v>20</v>
      </c>
      <c r="D14" s="4" t="s">
        <v>1200</v>
      </c>
      <c r="E14" s="4" t="s">
        <v>51</v>
      </c>
      <c r="F14" s="4" t="s">
        <v>93</v>
      </c>
      <c r="G14" s="4" t="s">
        <v>94</v>
      </c>
      <c r="H14" s="4" t="s">
        <v>54</v>
      </c>
      <c r="I14" s="4" t="s">
        <v>1148</v>
      </c>
      <c r="J14" s="4" t="s">
        <v>95</v>
      </c>
      <c r="K14" s="4" t="s">
        <v>56</v>
      </c>
      <c r="L14" s="4" t="s">
        <v>27</v>
      </c>
      <c r="M14" s="4" t="s">
        <v>69</v>
      </c>
      <c r="N14" s="4" t="s">
        <v>29</v>
      </c>
      <c r="O14" s="4"/>
      <c r="P14" s="4" t="s">
        <v>96</v>
      </c>
      <c r="Q14" s="4"/>
      <c r="R14" s="4"/>
      <c r="S14" s="4"/>
    </row>
    <row r="15" spans="1:19" ht="75">
      <c r="A15" s="4">
        <v>14</v>
      </c>
      <c r="B15" s="4" t="s">
        <v>97</v>
      </c>
      <c r="C15" s="4" t="s">
        <v>20</v>
      </c>
      <c r="D15" s="4" t="s">
        <v>1200</v>
      </c>
      <c r="E15" s="4" t="s">
        <v>51</v>
      </c>
      <c r="F15" s="4" t="s">
        <v>98</v>
      </c>
      <c r="G15" s="4" t="s">
        <v>99</v>
      </c>
      <c r="H15" s="4" t="s">
        <v>54</v>
      </c>
      <c r="I15" s="4" t="s">
        <v>1155</v>
      </c>
      <c r="J15" s="4" t="s">
        <v>100</v>
      </c>
      <c r="K15" s="4" t="s">
        <v>56</v>
      </c>
      <c r="L15" s="4" t="s">
        <v>27</v>
      </c>
      <c r="M15" s="4" t="s">
        <v>28</v>
      </c>
      <c r="N15" s="4" t="s">
        <v>57</v>
      </c>
      <c r="O15" s="4" t="s">
        <v>101</v>
      </c>
      <c r="P15" s="4" t="s">
        <v>102</v>
      </c>
      <c r="Q15" s="4"/>
      <c r="R15" s="4"/>
      <c r="S15" s="4"/>
    </row>
    <row r="16" spans="1:19" ht="75">
      <c r="A16" s="4">
        <v>15</v>
      </c>
      <c r="B16" s="4" t="s">
        <v>103</v>
      </c>
      <c r="C16" s="4" t="s">
        <v>20</v>
      </c>
      <c r="D16" s="4" t="s">
        <v>1200</v>
      </c>
      <c r="E16" s="4" t="s">
        <v>51</v>
      </c>
      <c r="F16" s="4" t="s">
        <v>104</v>
      </c>
      <c r="G16" s="4" t="s">
        <v>105</v>
      </c>
      <c r="H16" s="4" t="s">
        <v>54</v>
      </c>
      <c r="I16" s="4" t="s">
        <v>1156</v>
      </c>
      <c r="J16" s="4" t="s">
        <v>106</v>
      </c>
      <c r="K16" s="4" t="s">
        <v>56</v>
      </c>
      <c r="L16" s="4" t="s">
        <v>27</v>
      </c>
      <c r="M16" s="4" t="s">
        <v>28</v>
      </c>
      <c r="N16" s="4" t="s">
        <v>57</v>
      </c>
      <c r="O16" s="4" t="s">
        <v>107</v>
      </c>
      <c r="P16" s="4" t="s">
        <v>108</v>
      </c>
      <c r="Q16" s="4"/>
      <c r="R16" s="4"/>
      <c r="S16" s="4"/>
    </row>
    <row r="17" spans="1:19" ht="75">
      <c r="A17" s="4">
        <v>16</v>
      </c>
      <c r="B17" s="4" t="s">
        <v>109</v>
      </c>
      <c r="C17" s="4" t="s">
        <v>20</v>
      </c>
      <c r="D17" s="4" t="s">
        <v>1200</v>
      </c>
      <c r="E17" s="4" t="s">
        <v>51</v>
      </c>
      <c r="F17" s="4" t="s">
        <v>110</v>
      </c>
      <c r="G17" s="4" t="s">
        <v>111</v>
      </c>
      <c r="H17" s="4" t="s">
        <v>54</v>
      </c>
      <c r="I17" s="4" t="s">
        <v>1157</v>
      </c>
      <c r="J17" s="4" t="s">
        <v>112</v>
      </c>
      <c r="K17" s="4" t="s">
        <v>56</v>
      </c>
      <c r="L17" s="4" t="s">
        <v>27</v>
      </c>
      <c r="M17" s="4" t="s">
        <v>28</v>
      </c>
      <c r="N17" s="4" t="s">
        <v>57</v>
      </c>
      <c r="O17" s="4" t="s">
        <v>113</v>
      </c>
      <c r="P17" s="4" t="s">
        <v>114</v>
      </c>
      <c r="Q17" s="4"/>
      <c r="R17" s="4"/>
      <c r="S17" s="4"/>
    </row>
    <row r="18" spans="1:19" ht="75">
      <c r="A18" s="4">
        <v>17</v>
      </c>
      <c r="B18" s="4" t="s">
        <v>115</v>
      </c>
      <c r="C18" s="4" t="s">
        <v>20</v>
      </c>
      <c r="D18" s="4" t="s">
        <v>1200</v>
      </c>
      <c r="E18" s="4" t="s">
        <v>51</v>
      </c>
      <c r="F18" s="4" t="s">
        <v>116</v>
      </c>
      <c r="G18" s="4" t="s">
        <v>117</v>
      </c>
      <c r="H18" s="4" t="s">
        <v>54</v>
      </c>
      <c r="I18" s="4" t="s">
        <v>1158</v>
      </c>
      <c r="J18" s="4" t="s">
        <v>118</v>
      </c>
      <c r="K18" s="4" t="s">
        <v>56</v>
      </c>
      <c r="L18" s="4" t="s">
        <v>27</v>
      </c>
      <c r="M18" s="4" t="s">
        <v>28</v>
      </c>
      <c r="N18" s="4" t="s">
        <v>57</v>
      </c>
      <c r="O18" s="4" t="s">
        <v>107</v>
      </c>
      <c r="P18" s="4" t="s">
        <v>119</v>
      </c>
      <c r="Q18" s="4"/>
      <c r="R18" s="4"/>
      <c r="S18" s="4"/>
    </row>
    <row r="19" spans="1:19" ht="75">
      <c r="A19" s="4">
        <v>18</v>
      </c>
      <c r="B19" s="4" t="s">
        <v>120</v>
      </c>
      <c r="C19" s="4" t="s">
        <v>20</v>
      </c>
      <c r="D19" s="4" t="s">
        <v>1200</v>
      </c>
      <c r="E19" s="4" t="s">
        <v>51</v>
      </c>
      <c r="F19" s="4" t="s">
        <v>121</v>
      </c>
      <c r="G19" s="4" t="s">
        <v>122</v>
      </c>
      <c r="H19" s="4" t="s">
        <v>54</v>
      </c>
      <c r="I19" s="4" t="s">
        <v>1159</v>
      </c>
      <c r="J19" s="4" t="s">
        <v>123</v>
      </c>
      <c r="K19" s="4" t="s">
        <v>56</v>
      </c>
      <c r="L19" s="4" t="s">
        <v>27</v>
      </c>
      <c r="M19" s="4" t="s">
        <v>28</v>
      </c>
      <c r="N19" s="4" t="s">
        <v>57</v>
      </c>
      <c r="O19" s="4" t="s">
        <v>124</v>
      </c>
      <c r="P19" s="4" t="s">
        <v>125</v>
      </c>
      <c r="Q19" s="4"/>
      <c r="R19" s="4"/>
      <c r="S19" s="4"/>
    </row>
    <row r="20" spans="1:19" ht="56.25">
      <c r="A20" s="4">
        <v>19</v>
      </c>
      <c r="B20" s="4" t="s">
        <v>126</v>
      </c>
      <c r="C20" s="4" t="s">
        <v>20</v>
      </c>
      <c r="D20" s="4" t="s">
        <v>1200</v>
      </c>
      <c r="E20" s="4" t="s">
        <v>51</v>
      </c>
      <c r="F20" s="4" t="s">
        <v>127</v>
      </c>
      <c r="G20" s="4" t="s">
        <v>128</v>
      </c>
      <c r="H20" s="4" t="s">
        <v>54</v>
      </c>
      <c r="I20" s="4" t="s">
        <v>1149</v>
      </c>
      <c r="J20" s="4" t="s">
        <v>129</v>
      </c>
      <c r="K20" s="4" t="s">
        <v>56</v>
      </c>
      <c r="L20" s="4" t="s">
        <v>27</v>
      </c>
      <c r="M20" s="4" t="s">
        <v>28</v>
      </c>
      <c r="N20" s="4" t="s">
        <v>57</v>
      </c>
      <c r="O20" s="4" t="s">
        <v>130</v>
      </c>
      <c r="P20" s="4" t="s">
        <v>131</v>
      </c>
      <c r="Q20" s="4"/>
      <c r="R20" s="4"/>
      <c r="S20" s="4"/>
    </row>
    <row r="21" spans="1:19" ht="56.25">
      <c r="A21" s="4">
        <v>20</v>
      </c>
      <c r="B21" s="4" t="s">
        <v>132</v>
      </c>
      <c r="C21" s="4" t="s">
        <v>20</v>
      </c>
      <c r="D21" s="4" t="s">
        <v>1200</v>
      </c>
      <c r="E21" s="4" t="s">
        <v>51</v>
      </c>
      <c r="F21" s="4" t="s">
        <v>133</v>
      </c>
      <c r="G21" s="4" t="s">
        <v>134</v>
      </c>
      <c r="H21" s="4" t="s">
        <v>54</v>
      </c>
      <c r="I21" s="4" t="s">
        <v>1150</v>
      </c>
      <c r="J21" s="4" t="s">
        <v>135</v>
      </c>
      <c r="K21" s="4" t="s">
        <v>56</v>
      </c>
      <c r="L21" s="4" t="s">
        <v>27</v>
      </c>
      <c r="M21" s="4" t="s">
        <v>28</v>
      </c>
      <c r="N21" s="4" t="s">
        <v>57</v>
      </c>
      <c r="O21" s="4" t="s">
        <v>136</v>
      </c>
      <c r="P21" s="4" t="s">
        <v>137</v>
      </c>
      <c r="Q21" s="4"/>
      <c r="R21" s="4"/>
      <c r="S21" s="4"/>
    </row>
    <row r="22" spans="1:19" ht="56.25">
      <c r="A22" s="4">
        <v>21</v>
      </c>
      <c r="B22" s="4" t="s">
        <v>138</v>
      </c>
      <c r="C22" s="4" t="s">
        <v>20</v>
      </c>
      <c r="D22" s="4" t="s">
        <v>1200</v>
      </c>
      <c r="E22" s="4" t="s">
        <v>51</v>
      </c>
      <c r="F22" s="4" t="s">
        <v>139</v>
      </c>
      <c r="G22" s="4" t="s">
        <v>140</v>
      </c>
      <c r="H22" s="4" t="s">
        <v>54</v>
      </c>
      <c r="I22" s="4" t="s">
        <v>1151</v>
      </c>
      <c r="J22" s="4" t="s">
        <v>141</v>
      </c>
      <c r="K22" s="4" t="s">
        <v>56</v>
      </c>
      <c r="L22" s="4" t="s">
        <v>27</v>
      </c>
      <c r="M22" s="4" t="s">
        <v>142</v>
      </c>
      <c r="N22" s="4" t="s">
        <v>57</v>
      </c>
      <c r="O22" s="4" t="s">
        <v>143</v>
      </c>
      <c r="P22" s="4" t="s">
        <v>144</v>
      </c>
      <c r="Q22" s="4"/>
      <c r="R22" s="4"/>
      <c r="S22" s="4"/>
    </row>
    <row r="23" spans="1:19" ht="75">
      <c r="A23" s="4">
        <v>22</v>
      </c>
      <c r="B23" s="4" t="s">
        <v>145</v>
      </c>
      <c r="C23" s="4" t="s">
        <v>146</v>
      </c>
      <c r="D23" s="4" t="s">
        <v>147</v>
      </c>
      <c r="E23" s="4" t="s">
        <v>148</v>
      </c>
      <c r="F23" s="4" t="s">
        <v>149</v>
      </c>
      <c r="G23" s="4" t="s">
        <v>150</v>
      </c>
      <c r="H23" s="4" t="s">
        <v>151</v>
      </c>
      <c r="I23" s="4" t="s">
        <v>1073</v>
      </c>
      <c r="J23" s="4" t="s">
        <v>152</v>
      </c>
      <c r="K23" s="4" t="s">
        <v>153</v>
      </c>
      <c r="L23" s="4" t="s">
        <v>27</v>
      </c>
      <c r="M23" s="4" t="s">
        <v>28</v>
      </c>
      <c r="N23" s="4" t="s">
        <v>29</v>
      </c>
      <c r="O23" s="4" t="s">
        <v>154</v>
      </c>
      <c r="P23" s="4" t="s">
        <v>155</v>
      </c>
      <c r="Q23" s="4"/>
      <c r="R23" s="4"/>
      <c r="S23" s="4"/>
    </row>
    <row r="24" spans="1:19" ht="75">
      <c r="A24" s="4">
        <v>23</v>
      </c>
      <c r="B24" s="4" t="s">
        <v>156</v>
      </c>
      <c r="C24" s="4" t="s">
        <v>146</v>
      </c>
      <c r="D24" s="4" t="s">
        <v>147</v>
      </c>
      <c r="E24" s="4" t="s">
        <v>157</v>
      </c>
      <c r="F24" s="4" t="s">
        <v>158</v>
      </c>
      <c r="G24" s="4" t="s">
        <v>159</v>
      </c>
      <c r="H24" s="4" t="s">
        <v>151</v>
      </c>
      <c r="I24" s="4" t="s">
        <v>1074</v>
      </c>
      <c r="J24" s="4" t="s">
        <v>160</v>
      </c>
      <c r="K24" s="4" t="s">
        <v>153</v>
      </c>
      <c r="L24" s="4" t="s">
        <v>27</v>
      </c>
      <c r="M24" s="4" t="s">
        <v>28</v>
      </c>
      <c r="N24" s="4" t="s">
        <v>57</v>
      </c>
      <c r="O24" s="4" t="s">
        <v>161</v>
      </c>
      <c r="P24" s="4" t="s">
        <v>162</v>
      </c>
      <c r="Q24" s="4"/>
      <c r="R24" s="4"/>
      <c r="S24" s="4"/>
    </row>
    <row r="25" spans="1:19" ht="75">
      <c r="A25" s="4">
        <v>24</v>
      </c>
      <c r="B25" s="4" t="s">
        <v>163</v>
      </c>
      <c r="C25" s="4" t="s">
        <v>146</v>
      </c>
      <c r="D25" s="4" t="s">
        <v>147</v>
      </c>
      <c r="E25" s="4" t="s">
        <v>157</v>
      </c>
      <c r="F25" s="4" t="s">
        <v>164</v>
      </c>
      <c r="G25" s="4" t="s">
        <v>165</v>
      </c>
      <c r="H25" s="4" t="s">
        <v>151</v>
      </c>
      <c r="I25" s="4" t="s">
        <v>1075</v>
      </c>
      <c r="J25" s="4" t="s">
        <v>166</v>
      </c>
      <c r="K25" s="4" t="s">
        <v>153</v>
      </c>
      <c r="L25" s="4" t="s">
        <v>27</v>
      </c>
      <c r="M25" s="4" t="s">
        <v>28</v>
      </c>
      <c r="N25" s="4" t="s">
        <v>57</v>
      </c>
      <c r="O25" s="4" t="s">
        <v>167</v>
      </c>
      <c r="P25" s="4" t="s">
        <v>168</v>
      </c>
      <c r="Q25" s="4"/>
      <c r="R25" s="4"/>
      <c r="S25" s="4"/>
    </row>
    <row r="26" spans="1:19" ht="75">
      <c r="A26" s="4">
        <v>25</v>
      </c>
      <c r="B26" s="4" t="s">
        <v>169</v>
      </c>
      <c r="C26" s="4" t="s">
        <v>146</v>
      </c>
      <c r="D26" s="4" t="s">
        <v>147</v>
      </c>
      <c r="E26" s="4" t="s">
        <v>170</v>
      </c>
      <c r="F26" s="4" t="s">
        <v>171</v>
      </c>
      <c r="G26" s="4" t="s">
        <v>172</v>
      </c>
      <c r="H26" s="4" t="s">
        <v>151</v>
      </c>
      <c r="I26" s="4" t="s">
        <v>1076</v>
      </c>
      <c r="J26" s="4" t="s">
        <v>173</v>
      </c>
      <c r="K26" s="4" t="s">
        <v>153</v>
      </c>
      <c r="L26" s="4" t="s">
        <v>27</v>
      </c>
      <c r="M26" s="4" t="s">
        <v>28</v>
      </c>
      <c r="N26" s="4" t="s">
        <v>57</v>
      </c>
      <c r="O26" s="4" t="s">
        <v>174</v>
      </c>
      <c r="P26" s="4" t="s">
        <v>175</v>
      </c>
      <c r="Q26" s="4"/>
      <c r="R26" s="4"/>
      <c r="S26" s="4"/>
    </row>
    <row r="27" spans="1:19" ht="75">
      <c r="A27" s="4">
        <v>26</v>
      </c>
      <c r="B27" s="4" t="s">
        <v>176</v>
      </c>
      <c r="C27" s="4" t="s">
        <v>146</v>
      </c>
      <c r="D27" s="4" t="s">
        <v>147</v>
      </c>
      <c r="E27" s="4" t="s">
        <v>43</v>
      </c>
      <c r="F27" s="4" t="s">
        <v>177</v>
      </c>
      <c r="G27" s="4" t="s">
        <v>178</v>
      </c>
      <c r="H27" s="4" t="s">
        <v>151</v>
      </c>
      <c r="I27" s="4" t="s">
        <v>1077</v>
      </c>
      <c r="J27" s="4" t="s">
        <v>179</v>
      </c>
      <c r="K27" s="4" t="s">
        <v>153</v>
      </c>
      <c r="L27" s="4" t="s">
        <v>27</v>
      </c>
      <c r="M27" s="4" t="s">
        <v>69</v>
      </c>
      <c r="N27" s="4" t="s">
        <v>57</v>
      </c>
      <c r="O27" s="4" t="s">
        <v>180</v>
      </c>
      <c r="P27" s="4" t="s">
        <v>181</v>
      </c>
      <c r="Q27" s="4"/>
      <c r="R27" s="4"/>
      <c r="S27" s="4"/>
    </row>
    <row r="28" spans="1:19" ht="75">
      <c r="A28" s="4">
        <v>27</v>
      </c>
      <c r="B28" s="4" t="s">
        <v>182</v>
      </c>
      <c r="C28" s="4" t="s">
        <v>146</v>
      </c>
      <c r="D28" s="4" t="s">
        <v>147</v>
      </c>
      <c r="E28" s="4" t="s">
        <v>183</v>
      </c>
      <c r="F28" s="4" t="s">
        <v>184</v>
      </c>
      <c r="G28" s="4" t="s">
        <v>185</v>
      </c>
      <c r="H28" s="4" t="s">
        <v>151</v>
      </c>
      <c r="I28" s="4" t="s">
        <v>1078</v>
      </c>
      <c r="J28" s="4" t="s">
        <v>186</v>
      </c>
      <c r="K28" s="4" t="s">
        <v>153</v>
      </c>
      <c r="L28" s="4" t="s">
        <v>27</v>
      </c>
      <c r="M28" s="4" t="s">
        <v>69</v>
      </c>
      <c r="N28" s="4" t="s">
        <v>57</v>
      </c>
      <c r="O28" s="4" t="s">
        <v>187</v>
      </c>
      <c r="P28" s="4" t="s">
        <v>188</v>
      </c>
      <c r="Q28" s="4"/>
      <c r="R28" s="4"/>
      <c r="S28" s="4"/>
    </row>
    <row r="29" spans="1:19" ht="75">
      <c r="A29" s="4">
        <v>28</v>
      </c>
      <c r="B29" s="4" t="s">
        <v>189</v>
      </c>
      <c r="C29" s="4" t="s">
        <v>146</v>
      </c>
      <c r="D29" s="4" t="s">
        <v>147</v>
      </c>
      <c r="E29" s="4" t="s">
        <v>190</v>
      </c>
      <c r="F29" s="4" t="s">
        <v>191</v>
      </c>
      <c r="G29" s="4" t="s">
        <v>192</v>
      </c>
      <c r="H29" s="4" t="s">
        <v>151</v>
      </c>
      <c r="I29" s="4" t="s">
        <v>1079</v>
      </c>
      <c r="J29" s="4" t="s">
        <v>193</v>
      </c>
      <c r="K29" s="4" t="s">
        <v>153</v>
      </c>
      <c r="L29" s="4" t="s">
        <v>27</v>
      </c>
      <c r="M29" s="4" t="s">
        <v>69</v>
      </c>
      <c r="N29" s="4" t="s">
        <v>57</v>
      </c>
      <c r="O29" s="4" t="s">
        <v>194</v>
      </c>
      <c r="P29" s="4" t="s">
        <v>195</v>
      </c>
      <c r="Q29" s="4"/>
      <c r="R29" s="4"/>
      <c r="S29" s="4"/>
    </row>
    <row r="30" spans="1:19" ht="75">
      <c r="A30" s="4">
        <v>29</v>
      </c>
      <c r="B30" s="4" t="s">
        <v>196</v>
      </c>
      <c r="C30" s="4" t="s">
        <v>146</v>
      </c>
      <c r="D30" s="4" t="s">
        <v>147</v>
      </c>
      <c r="E30" s="4" t="s">
        <v>197</v>
      </c>
      <c r="F30" s="4" t="s">
        <v>198</v>
      </c>
      <c r="G30" s="4" t="s">
        <v>199</v>
      </c>
      <c r="H30" s="4" t="s">
        <v>151</v>
      </c>
      <c r="I30" s="4" t="s">
        <v>1080</v>
      </c>
      <c r="J30" s="4" t="s">
        <v>200</v>
      </c>
      <c r="K30" s="4" t="s">
        <v>153</v>
      </c>
      <c r="L30" s="4" t="s">
        <v>27</v>
      </c>
      <c r="M30" s="4" t="s">
        <v>28</v>
      </c>
      <c r="N30" s="4" t="s">
        <v>57</v>
      </c>
      <c r="O30" s="4" t="s">
        <v>201</v>
      </c>
      <c r="P30" s="4" t="s">
        <v>202</v>
      </c>
      <c r="Q30" s="4"/>
      <c r="R30" s="4"/>
      <c r="S30" s="4"/>
    </row>
    <row r="31" spans="1:19" ht="75">
      <c r="A31" s="4">
        <v>30</v>
      </c>
      <c r="B31" s="4" t="s">
        <v>203</v>
      </c>
      <c r="C31" s="4" t="s">
        <v>146</v>
      </c>
      <c r="D31" s="4" t="s">
        <v>147</v>
      </c>
      <c r="E31" s="4" t="s">
        <v>197</v>
      </c>
      <c r="F31" s="4" t="s">
        <v>204</v>
      </c>
      <c r="G31" s="4" t="s">
        <v>205</v>
      </c>
      <c r="H31" s="4" t="s">
        <v>151</v>
      </c>
      <c r="I31" s="4" t="s">
        <v>1081</v>
      </c>
      <c r="J31" s="4" t="s">
        <v>206</v>
      </c>
      <c r="K31" s="4" t="s">
        <v>153</v>
      </c>
      <c r="L31" s="4" t="s">
        <v>27</v>
      </c>
      <c r="M31" s="4" t="s">
        <v>28</v>
      </c>
      <c r="N31" s="4" t="s">
        <v>57</v>
      </c>
      <c r="O31" s="4" t="s">
        <v>201</v>
      </c>
      <c r="P31" s="4" t="s">
        <v>207</v>
      </c>
      <c r="Q31" s="4"/>
      <c r="R31" s="4"/>
      <c r="S31" s="4"/>
    </row>
    <row r="32" spans="1:19" ht="75">
      <c r="A32" s="4">
        <v>31</v>
      </c>
      <c r="B32" s="4" t="s">
        <v>208</v>
      </c>
      <c r="C32" s="4" t="s">
        <v>146</v>
      </c>
      <c r="D32" s="4" t="s">
        <v>147</v>
      </c>
      <c r="E32" s="4" t="s">
        <v>197</v>
      </c>
      <c r="F32" s="4" t="s">
        <v>209</v>
      </c>
      <c r="G32" s="4" t="s">
        <v>210</v>
      </c>
      <c r="H32" s="4" t="s">
        <v>151</v>
      </c>
      <c r="I32" s="4" t="s">
        <v>1082</v>
      </c>
      <c r="J32" s="4" t="s">
        <v>211</v>
      </c>
      <c r="K32" s="4" t="s">
        <v>153</v>
      </c>
      <c r="L32" s="4" t="s">
        <v>27</v>
      </c>
      <c r="M32" s="4" t="s">
        <v>28</v>
      </c>
      <c r="N32" s="4" t="s">
        <v>57</v>
      </c>
      <c r="O32" s="4" t="s">
        <v>201</v>
      </c>
      <c r="P32" s="4" t="s">
        <v>212</v>
      </c>
      <c r="Q32" s="4"/>
      <c r="R32" s="4"/>
      <c r="S32" s="4"/>
    </row>
    <row r="33" spans="1:19" ht="75">
      <c r="A33" s="4">
        <v>32</v>
      </c>
      <c r="B33" s="4" t="s">
        <v>213</v>
      </c>
      <c r="C33" s="4" t="s">
        <v>146</v>
      </c>
      <c r="D33" s="4" t="s">
        <v>147</v>
      </c>
      <c r="E33" s="4" t="s">
        <v>197</v>
      </c>
      <c r="F33" s="4" t="s">
        <v>214</v>
      </c>
      <c r="G33" s="4" t="s">
        <v>215</v>
      </c>
      <c r="H33" s="4" t="s">
        <v>151</v>
      </c>
      <c r="I33" s="4" t="s">
        <v>1083</v>
      </c>
      <c r="J33" s="4" t="s">
        <v>216</v>
      </c>
      <c r="K33" s="4" t="s">
        <v>153</v>
      </c>
      <c r="L33" s="4" t="s">
        <v>27</v>
      </c>
      <c r="M33" s="4" t="s">
        <v>28</v>
      </c>
      <c r="N33" s="4" t="s">
        <v>57</v>
      </c>
      <c r="O33" s="4" t="s">
        <v>217</v>
      </c>
      <c r="P33" s="4" t="s">
        <v>218</v>
      </c>
      <c r="Q33" s="4"/>
      <c r="R33" s="4"/>
      <c r="S33" s="4"/>
    </row>
    <row r="34" spans="1:19" ht="75">
      <c r="A34" s="4">
        <v>33</v>
      </c>
      <c r="B34" s="4" t="s">
        <v>219</v>
      </c>
      <c r="C34" s="4" t="s">
        <v>146</v>
      </c>
      <c r="D34" s="4" t="s">
        <v>147</v>
      </c>
      <c r="E34" s="4" t="s">
        <v>220</v>
      </c>
      <c r="F34" s="4" t="s">
        <v>221</v>
      </c>
      <c r="G34" s="4" t="s">
        <v>222</v>
      </c>
      <c r="H34" s="4" t="s">
        <v>151</v>
      </c>
      <c r="I34" s="4" t="s">
        <v>1084</v>
      </c>
      <c r="J34" s="4" t="s">
        <v>223</v>
      </c>
      <c r="K34" s="4" t="s">
        <v>153</v>
      </c>
      <c r="L34" s="4" t="s">
        <v>27</v>
      </c>
      <c r="M34" s="4" t="s">
        <v>28</v>
      </c>
      <c r="N34" s="4" t="s">
        <v>57</v>
      </c>
      <c r="O34" s="4" t="s">
        <v>224</v>
      </c>
      <c r="P34" s="4" t="s">
        <v>225</v>
      </c>
      <c r="Q34" s="4"/>
      <c r="R34" s="4"/>
      <c r="S34" s="4"/>
    </row>
    <row r="35" spans="1:19" ht="75">
      <c r="A35" s="4">
        <v>34</v>
      </c>
      <c r="B35" s="4" t="s">
        <v>226</v>
      </c>
      <c r="C35" s="4" t="s">
        <v>146</v>
      </c>
      <c r="D35" s="4" t="s">
        <v>147</v>
      </c>
      <c r="E35" s="4" t="s">
        <v>220</v>
      </c>
      <c r="F35" s="4" t="s">
        <v>227</v>
      </c>
      <c r="G35" s="4" t="s">
        <v>228</v>
      </c>
      <c r="H35" s="4" t="s">
        <v>151</v>
      </c>
      <c r="I35" s="4" t="s">
        <v>1085</v>
      </c>
      <c r="J35" s="4" t="s">
        <v>229</v>
      </c>
      <c r="K35" s="4" t="s">
        <v>153</v>
      </c>
      <c r="L35" s="4" t="s">
        <v>27</v>
      </c>
      <c r="M35" s="4" t="s">
        <v>28</v>
      </c>
      <c r="N35" s="4" t="s">
        <v>57</v>
      </c>
      <c r="O35" s="4" t="s">
        <v>230</v>
      </c>
      <c r="P35" s="4" t="s">
        <v>231</v>
      </c>
      <c r="Q35" s="4"/>
      <c r="R35" s="4"/>
      <c r="S35" s="4"/>
    </row>
    <row r="36" spans="1:19" ht="75">
      <c r="A36" s="4">
        <v>35</v>
      </c>
      <c r="B36" s="4" t="s">
        <v>232</v>
      </c>
      <c r="C36" s="4" t="s">
        <v>146</v>
      </c>
      <c r="D36" s="4" t="s">
        <v>147</v>
      </c>
      <c r="E36" s="4" t="s">
        <v>233</v>
      </c>
      <c r="F36" s="4" t="s">
        <v>234</v>
      </c>
      <c r="G36" s="4" t="s">
        <v>235</v>
      </c>
      <c r="H36" s="4" t="s">
        <v>151</v>
      </c>
      <c r="I36" s="4" t="s">
        <v>1086</v>
      </c>
      <c r="J36" s="4" t="s">
        <v>236</v>
      </c>
      <c r="K36" s="4" t="s">
        <v>153</v>
      </c>
      <c r="L36" s="4" t="s">
        <v>27</v>
      </c>
      <c r="M36" s="4" t="s">
        <v>28</v>
      </c>
      <c r="N36" s="4" t="s">
        <v>57</v>
      </c>
      <c r="O36" s="4" t="s">
        <v>237</v>
      </c>
      <c r="P36" s="4" t="s">
        <v>238</v>
      </c>
      <c r="Q36" s="4"/>
      <c r="R36" s="4"/>
      <c r="S36" s="4"/>
    </row>
    <row r="37" spans="1:19" ht="75">
      <c r="A37" s="4">
        <v>36</v>
      </c>
      <c r="B37" s="4" t="s">
        <v>239</v>
      </c>
      <c r="C37" s="4" t="s">
        <v>146</v>
      </c>
      <c r="D37" s="4" t="s">
        <v>147</v>
      </c>
      <c r="E37" s="4" t="s">
        <v>233</v>
      </c>
      <c r="F37" s="4" t="s">
        <v>240</v>
      </c>
      <c r="G37" s="4" t="s">
        <v>241</v>
      </c>
      <c r="H37" s="4" t="s">
        <v>151</v>
      </c>
      <c r="I37" s="4" t="s">
        <v>1087</v>
      </c>
      <c r="J37" s="4" t="s">
        <v>242</v>
      </c>
      <c r="K37" s="4" t="s">
        <v>153</v>
      </c>
      <c r="L37" s="4" t="s">
        <v>27</v>
      </c>
      <c r="M37" s="4" t="s">
        <v>28</v>
      </c>
      <c r="N37" s="4" t="s">
        <v>57</v>
      </c>
      <c r="O37" s="4" t="s">
        <v>243</v>
      </c>
      <c r="P37" s="4" t="s">
        <v>244</v>
      </c>
      <c r="Q37" s="4"/>
      <c r="R37" s="4"/>
      <c r="S37" s="4"/>
    </row>
    <row r="38" spans="1:19" ht="75">
      <c r="A38" s="4">
        <v>37</v>
      </c>
      <c r="B38" s="4" t="s">
        <v>245</v>
      </c>
      <c r="C38" s="4" t="s">
        <v>146</v>
      </c>
      <c r="D38" s="4" t="s">
        <v>147</v>
      </c>
      <c r="E38" s="4" t="s">
        <v>246</v>
      </c>
      <c r="F38" s="4" t="s">
        <v>247</v>
      </c>
      <c r="G38" s="4" t="s">
        <v>248</v>
      </c>
      <c r="H38" s="4" t="s">
        <v>151</v>
      </c>
      <c r="I38" s="4" t="s">
        <v>1088</v>
      </c>
      <c r="J38" s="4" t="s">
        <v>249</v>
      </c>
      <c r="K38" s="4" t="s">
        <v>153</v>
      </c>
      <c r="L38" s="4" t="s">
        <v>27</v>
      </c>
      <c r="M38" s="4" t="s">
        <v>28</v>
      </c>
      <c r="N38" s="4" t="s">
        <v>57</v>
      </c>
      <c r="O38" s="4" t="s">
        <v>250</v>
      </c>
      <c r="P38" s="4" t="s">
        <v>251</v>
      </c>
      <c r="Q38" s="4"/>
      <c r="R38" s="4"/>
      <c r="S38" s="4"/>
    </row>
    <row r="39" spans="1:19" ht="75">
      <c r="A39" s="4">
        <v>38</v>
      </c>
      <c r="B39" s="4" t="s">
        <v>252</v>
      </c>
      <c r="C39" s="4" t="s">
        <v>146</v>
      </c>
      <c r="D39" s="4" t="s">
        <v>147</v>
      </c>
      <c r="E39" s="4" t="s">
        <v>246</v>
      </c>
      <c r="F39" s="4" t="s">
        <v>253</v>
      </c>
      <c r="G39" s="4" t="s">
        <v>254</v>
      </c>
      <c r="H39" s="4" t="s">
        <v>151</v>
      </c>
      <c r="I39" s="4" t="s">
        <v>1089</v>
      </c>
      <c r="J39" s="4" t="s">
        <v>255</v>
      </c>
      <c r="K39" s="4" t="s">
        <v>153</v>
      </c>
      <c r="L39" s="4" t="s">
        <v>27</v>
      </c>
      <c r="M39" s="4" t="s">
        <v>28</v>
      </c>
      <c r="N39" s="4" t="s">
        <v>57</v>
      </c>
      <c r="O39" s="4" t="s">
        <v>250</v>
      </c>
      <c r="P39" s="4" t="s">
        <v>256</v>
      </c>
      <c r="Q39" s="4"/>
      <c r="R39" s="4"/>
      <c r="S39" s="4"/>
    </row>
    <row r="40" spans="1:19" ht="75">
      <c r="A40" s="4">
        <v>39</v>
      </c>
      <c r="B40" s="4" t="s">
        <v>257</v>
      </c>
      <c r="C40" s="4" t="s">
        <v>146</v>
      </c>
      <c r="D40" s="4" t="s">
        <v>147</v>
      </c>
      <c r="E40" s="4" t="s">
        <v>258</v>
      </c>
      <c r="F40" s="4" t="s">
        <v>259</v>
      </c>
      <c r="G40" s="4" t="s">
        <v>260</v>
      </c>
      <c r="H40" s="4" t="s">
        <v>151</v>
      </c>
      <c r="I40" s="4" t="s">
        <v>1090</v>
      </c>
      <c r="J40" s="4" t="s">
        <v>261</v>
      </c>
      <c r="K40" s="4" t="s">
        <v>153</v>
      </c>
      <c r="L40" s="4" t="s">
        <v>27</v>
      </c>
      <c r="M40" s="4" t="s">
        <v>28</v>
      </c>
      <c r="N40" s="4" t="s">
        <v>29</v>
      </c>
      <c r="O40" s="4"/>
      <c r="P40" s="4" t="s">
        <v>262</v>
      </c>
      <c r="Q40" s="4"/>
      <c r="R40" s="4"/>
      <c r="S40" s="4"/>
    </row>
    <row r="41" spans="1:19" ht="75">
      <c r="A41" s="4">
        <v>40</v>
      </c>
      <c r="B41" s="4" t="s">
        <v>263</v>
      </c>
      <c r="C41" s="4" t="s">
        <v>146</v>
      </c>
      <c r="D41" s="4" t="s">
        <v>147</v>
      </c>
      <c r="E41" s="4" t="s">
        <v>258</v>
      </c>
      <c r="F41" s="4" t="s">
        <v>264</v>
      </c>
      <c r="G41" s="4" t="s">
        <v>265</v>
      </c>
      <c r="H41" s="4" t="s">
        <v>151</v>
      </c>
      <c r="I41" s="4" t="s">
        <v>1091</v>
      </c>
      <c r="J41" s="4" t="s">
        <v>266</v>
      </c>
      <c r="K41" s="4" t="s">
        <v>153</v>
      </c>
      <c r="L41" s="4" t="s">
        <v>27</v>
      </c>
      <c r="M41" s="4" t="s">
        <v>28</v>
      </c>
      <c r="N41" s="4" t="s">
        <v>57</v>
      </c>
      <c r="O41" s="4" t="s">
        <v>267</v>
      </c>
      <c r="P41" s="4" t="s">
        <v>268</v>
      </c>
      <c r="Q41" s="4"/>
      <c r="R41" s="4"/>
      <c r="S41" s="4"/>
    </row>
    <row r="42" spans="1:19" ht="75">
      <c r="A42" s="4">
        <v>41</v>
      </c>
      <c r="B42" s="4" t="s">
        <v>269</v>
      </c>
      <c r="C42" s="4" t="s">
        <v>146</v>
      </c>
      <c r="D42" s="4" t="s">
        <v>147</v>
      </c>
      <c r="E42" s="4" t="s">
        <v>270</v>
      </c>
      <c r="F42" s="4" t="s">
        <v>271</v>
      </c>
      <c r="G42" s="4" t="s">
        <v>272</v>
      </c>
      <c r="H42" s="4" t="s">
        <v>151</v>
      </c>
      <c r="I42" s="4" t="s">
        <v>1092</v>
      </c>
      <c r="J42" s="4" t="s">
        <v>273</v>
      </c>
      <c r="K42" s="4" t="s">
        <v>153</v>
      </c>
      <c r="L42" s="4" t="s">
        <v>27</v>
      </c>
      <c r="M42" s="4" t="s">
        <v>28</v>
      </c>
      <c r="N42" s="4" t="s">
        <v>57</v>
      </c>
      <c r="O42" s="4" t="s">
        <v>274</v>
      </c>
      <c r="P42" s="4" t="s">
        <v>275</v>
      </c>
      <c r="Q42" s="4"/>
      <c r="R42" s="4"/>
      <c r="S42" s="4"/>
    </row>
    <row r="43" spans="1:19" ht="75">
      <c r="A43" s="4">
        <v>42</v>
      </c>
      <c r="B43" s="4" t="s">
        <v>276</v>
      </c>
      <c r="C43" s="4" t="s">
        <v>146</v>
      </c>
      <c r="D43" s="4" t="s">
        <v>147</v>
      </c>
      <c r="E43" s="4" t="s">
        <v>277</v>
      </c>
      <c r="F43" s="4" t="s">
        <v>278</v>
      </c>
      <c r="G43" s="4" t="s">
        <v>279</v>
      </c>
      <c r="H43" s="4" t="s">
        <v>151</v>
      </c>
      <c r="I43" s="4" t="s">
        <v>1093</v>
      </c>
      <c r="J43" s="4" t="s">
        <v>280</v>
      </c>
      <c r="K43" s="4" t="s">
        <v>153</v>
      </c>
      <c r="L43" s="4" t="s">
        <v>27</v>
      </c>
      <c r="M43" s="4" t="s">
        <v>28</v>
      </c>
      <c r="N43" s="4" t="s">
        <v>57</v>
      </c>
      <c r="O43" s="4" t="s">
        <v>72</v>
      </c>
      <c r="P43" s="4" t="s">
        <v>281</v>
      </c>
      <c r="Q43" s="4"/>
      <c r="R43" s="4"/>
      <c r="S43" s="4"/>
    </row>
    <row r="44" spans="1:19" ht="75">
      <c r="A44" s="4">
        <v>43</v>
      </c>
      <c r="B44" s="4" t="s">
        <v>282</v>
      </c>
      <c r="C44" s="4" t="s">
        <v>146</v>
      </c>
      <c r="D44" s="4" t="s">
        <v>147</v>
      </c>
      <c r="E44" s="4" t="s">
        <v>283</v>
      </c>
      <c r="F44" s="4" t="s">
        <v>284</v>
      </c>
      <c r="G44" s="4" t="s">
        <v>285</v>
      </c>
      <c r="H44" s="4" t="s">
        <v>151</v>
      </c>
      <c r="I44" s="4" t="s">
        <v>1094</v>
      </c>
      <c r="J44" s="4" t="s">
        <v>286</v>
      </c>
      <c r="K44" s="4" t="s">
        <v>153</v>
      </c>
      <c r="L44" s="4" t="s">
        <v>27</v>
      </c>
      <c r="M44" s="4" t="s">
        <v>142</v>
      </c>
      <c r="N44" s="4" t="s">
        <v>57</v>
      </c>
      <c r="O44" s="4" t="s">
        <v>287</v>
      </c>
      <c r="P44" s="4" t="s">
        <v>288</v>
      </c>
      <c r="Q44" s="4"/>
      <c r="R44" s="4"/>
      <c r="S44" s="4"/>
    </row>
    <row r="45" spans="1:19" ht="75">
      <c r="A45" s="4">
        <v>44</v>
      </c>
      <c r="B45" s="4" t="s">
        <v>289</v>
      </c>
      <c r="C45" s="4" t="s">
        <v>290</v>
      </c>
      <c r="D45" s="4" t="s">
        <v>291</v>
      </c>
      <c r="E45" s="4" t="s">
        <v>292</v>
      </c>
      <c r="F45" s="4" t="s">
        <v>293</v>
      </c>
      <c r="G45" s="4" t="s">
        <v>294</v>
      </c>
      <c r="H45" s="4" t="s">
        <v>295</v>
      </c>
      <c r="I45" s="4" t="s">
        <v>1095</v>
      </c>
      <c r="J45" s="4" t="s">
        <v>296</v>
      </c>
      <c r="K45" s="4" t="s">
        <v>297</v>
      </c>
      <c r="L45" s="4" t="s">
        <v>27</v>
      </c>
      <c r="M45" s="4" t="s">
        <v>28</v>
      </c>
      <c r="N45" s="4" t="s">
        <v>57</v>
      </c>
      <c r="O45" s="4" t="s">
        <v>298</v>
      </c>
      <c r="P45" s="4" t="s">
        <v>299</v>
      </c>
      <c r="Q45" s="4"/>
      <c r="R45" s="4"/>
      <c r="S45" s="4"/>
    </row>
    <row r="46" spans="1:19" ht="75">
      <c r="A46" s="4">
        <v>45</v>
      </c>
      <c r="B46" s="4" t="s">
        <v>300</v>
      </c>
      <c r="C46" s="4" t="s">
        <v>290</v>
      </c>
      <c r="D46" s="4" t="s">
        <v>291</v>
      </c>
      <c r="E46" s="4" t="s">
        <v>292</v>
      </c>
      <c r="F46" s="4" t="s">
        <v>301</v>
      </c>
      <c r="G46" s="4" t="s">
        <v>302</v>
      </c>
      <c r="H46" s="4" t="s">
        <v>295</v>
      </c>
      <c r="I46" s="4" t="s">
        <v>1096</v>
      </c>
      <c r="J46" s="4" t="s">
        <v>303</v>
      </c>
      <c r="K46" s="4" t="s">
        <v>297</v>
      </c>
      <c r="L46" s="4" t="s">
        <v>27</v>
      </c>
      <c r="M46" s="4" t="s">
        <v>28</v>
      </c>
      <c r="N46" s="4" t="s">
        <v>57</v>
      </c>
      <c r="O46" s="4" t="s">
        <v>304</v>
      </c>
      <c r="P46" s="4" t="s">
        <v>305</v>
      </c>
      <c r="Q46" s="4"/>
      <c r="R46" s="4"/>
      <c r="S46" s="4"/>
    </row>
    <row r="47" spans="1:19" ht="75">
      <c r="A47" s="4">
        <v>46</v>
      </c>
      <c r="B47" s="4" t="s">
        <v>306</v>
      </c>
      <c r="C47" s="4" t="s">
        <v>290</v>
      </c>
      <c r="D47" s="4" t="s">
        <v>291</v>
      </c>
      <c r="E47" s="4" t="s">
        <v>307</v>
      </c>
      <c r="F47" s="4" t="s">
        <v>308</v>
      </c>
      <c r="G47" s="4" t="s">
        <v>309</v>
      </c>
      <c r="H47" s="4" t="s">
        <v>295</v>
      </c>
      <c r="I47" s="4" t="s">
        <v>1097</v>
      </c>
      <c r="J47" s="4" t="s">
        <v>310</v>
      </c>
      <c r="K47" s="4" t="s">
        <v>297</v>
      </c>
      <c r="L47" s="4" t="s">
        <v>27</v>
      </c>
      <c r="M47" s="4" t="s">
        <v>28</v>
      </c>
      <c r="N47" s="4" t="s">
        <v>57</v>
      </c>
      <c r="O47" s="4" t="s">
        <v>311</v>
      </c>
      <c r="P47" s="4" t="s">
        <v>312</v>
      </c>
      <c r="Q47" s="4"/>
      <c r="R47" s="4"/>
      <c r="S47" s="4"/>
    </row>
    <row r="48" spans="1:19" ht="75">
      <c r="A48" s="4">
        <v>47</v>
      </c>
      <c r="B48" s="4" t="s">
        <v>313</v>
      </c>
      <c r="C48" s="4" t="s">
        <v>290</v>
      </c>
      <c r="D48" s="4" t="s">
        <v>291</v>
      </c>
      <c r="E48" s="4" t="s">
        <v>314</v>
      </c>
      <c r="F48" s="4" t="s">
        <v>315</v>
      </c>
      <c r="G48" s="4" t="s">
        <v>316</v>
      </c>
      <c r="H48" s="4" t="s">
        <v>295</v>
      </c>
      <c r="I48" s="4" t="s">
        <v>1098</v>
      </c>
      <c r="J48" s="4" t="s">
        <v>317</v>
      </c>
      <c r="K48" s="4" t="s">
        <v>297</v>
      </c>
      <c r="L48" s="4" t="s">
        <v>27</v>
      </c>
      <c r="M48" s="4" t="s">
        <v>28</v>
      </c>
      <c r="N48" s="4" t="s">
        <v>57</v>
      </c>
      <c r="O48" s="4" t="s">
        <v>318</v>
      </c>
      <c r="P48" s="4" t="s">
        <v>319</v>
      </c>
      <c r="Q48" s="4"/>
      <c r="R48" s="4"/>
      <c r="S48" s="4"/>
    </row>
    <row r="49" spans="1:19" ht="75">
      <c r="A49" s="4">
        <v>48</v>
      </c>
      <c r="B49" s="4" t="s">
        <v>320</v>
      </c>
      <c r="C49" s="4" t="s">
        <v>290</v>
      </c>
      <c r="D49" s="4" t="s">
        <v>291</v>
      </c>
      <c r="E49" s="4" t="s">
        <v>321</v>
      </c>
      <c r="F49" s="4" t="s">
        <v>322</v>
      </c>
      <c r="G49" s="4" t="s">
        <v>323</v>
      </c>
      <c r="H49" s="4" t="s">
        <v>295</v>
      </c>
      <c r="I49" s="4" t="s">
        <v>1099</v>
      </c>
      <c r="J49" s="4" t="s">
        <v>324</v>
      </c>
      <c r="K49" s="4" t="s">
        <v>297</v>
      </c>
      <c r="L49" s="4" t="s">
        <v>27</v>
      </c>
      <c r="M49" s="4" t="s">
        <v>28</v>
      </c>
      <c r="N49" s="4" t="s">
        <v>57</v>
      </c>
      <c r="O49" s="4" t="s">
        <v>325</v>
      </c>
      <c r="P49" s="4" t="s">
        <v>326</v>
      </c>
      <c r="Q49" s="4"/>
      <c r="R49" s="4"/>
      <c r="S49" s="4"/>
    </row>
    <row r="50" spans="1:19" ht="75">
      <c r="A50" s="4">
        <v>49</v>
      </c>
      <c r="B50" s="4" t="s">
        <v>327</v>
      </c>
      <c r="C50" s="4" t="s">
        <v>290</v>
      </c>
      <c r="D50" s="4" t="s">
        <v>291</v>
      </c>
      <c r="E50" s="4" t="s">
        <v>328</v>
      </c>
      <c r="F50" s="4" t="s">
        <v>329</v>
      </c>
      <c r="G50" s="4" t="s">
        <v>330</v>
      </c>
      <c r="H50" s="4" t="s">
        <v>295</v>
      </c>
      <c r="I50" s="4" t="s">
        <v>1100</v>
      </c>
      <c r="J50" s="4" t="s">
        <v>331</v>
      </c>
      <c r="K50" s="4" t="s">
        <v>297</v>
      </c>
      <c r="L50" s="4" t="s">
        <v>27</v>
      </c>
      <c r="M50" s="4" t="s">
        <v>28</v>
      </c>
      <c r="N50" s="4" t="s">
        <v>57</v>
      </c>
      <c r="O50" s="4" t="s">
        <v>332</v>
      </c>
      <c r="P50" s="4" t="s">
        <v>333</v>
      </c>
      <c r="Q50" s="4"/>
      <c r="R50" s="4"/>
      <c r="S50" s="4"/>
    </row>
    <row r="51" spans="1:19" ht="75">
      <c r="A51" s="4">
        <v>50</v>
      </c>
      <c r="B51" s="4" t="s">
        <v>334</v>
      </c>
      <c r="C51" s="4" t="s">
        <v>290</v>
      </c>
      <c r="D51" s="4" t="s">
        <v>291</v>
      </c>
      <c r="E51" s="4" t="s">
        <v>335</v>
      </c>
      <c r="F51" s="4" t="s">
        <v>336</v>
      </c>
      <c r="G51" s="4" t="s">
        <v>337</v>
      </c>
      <c r="H51" s="4" t="s">
        <v>295</v>
      </c>
      <c r="I51" s="4" t="s">
        <v>1101</v>
      </c>
      <c r="J51" s="4" t="s">
        <v>338</v>
      </c>
      <c r="K51" s="4" t="s">
        <v>297</v>
      </c>
      <c r="L51" s="4" t="s">
        <v>27</v>
      </c>
      <c r="M51" s="4" t="s">
        <v>28</v>
      </c>
      <c r="N51" s="4" t="s">
        <v>29</v>
      </c>
      <c r="O51" s="4"/>
      <c r="P51" s="4" t="s">
        <v>339</v>
      </c>
      <c r="Q51" s="4"/>
      <c r="R51" s="4"/>
      <c r="S51" s="4"/>
    </row>
    <row r="52" spans="1:19" ht="75">
      <c r="A52" s="4">
        <v>51</v>
      </c>
      <c r="B52" s="4" t="s">
        <v>340</v>
      </c>
      <c r="C52" s="4" t="s">
        <v>290</v>
      </c>
      <c r="D52" s="4" t="s">
        <v>291</v>
      </c>
      <c r="E52" s="4" t="s">
        <v>341</v>
      </c>
      <c r="F52" s="4" t="s">
        <v>342</v>
      </c>
      <c r="G52" s="4" t="s">
        <v>343</v>
      </c>
      <c r="H52" s="4" t="s">
        <v>295</v>
      </c>
      <c r="I52" s="4" t="s">
        <v>1102</v>
      </c>
      <c r="J52" s="4" t="s">
        <v>344</v>
      </c>
      <c r="K52" s="4" t="s">
        <v>297</v>
      </c>
      <c r="L52" s="4" t="s">
        <v>27</v>
      </c>
      <c r="M52" s="4" t="s">
        <v>28</v>
      </c>
      <c r="N52" s="4" t="s">
        <v>29</v>
      </c>
      <c r="O52" s="4"/>
      <c r="P52" s="4" t="s">
        <v>345</v>
      </c>
      <c r="Q52" s="4"/>
      <c r="R52" s="4"/>
      <c r="S52" s="4"/>
    </row>
    <row r="53" spans="1:19" ht="75">
      <c r="A53" s="4">
        <v>52</v>
      </c>
      <c r="B53" s="4" t="s">
        <v>346</v>
      </c>
      <c r="C53" s="4" t="s">
        <v>290</v>
      </c>
      <c r="D53" s="4" t="s">
        <v>291</v>
      </c>
      <c r="E53" s="4" t="s">
        <v>341</v>
      </c>
      <c r="F53" s="4" t="s">
        <v>347</v>
      </c>
      <c r="G53" s="4" t="s">
        <v>348</v>
      </c>
      <c r="H53" s="4" t="s">
        <v>295</v>
      </c>
      <c r="I53" s="4" t="s">
        <v>1103</v>
      </c>
      <c r="J53" s="4" t="s">
        <v>349</v>
      </c>
      <c r="K53" s="4" t="s">
        <v>297</v>
      </c>
      <c r="L53" s="4" t="s">
        <v>27</v>
      </c>
      <c r="M53" s="4" t="s">
        <v>28</v>
      </c>
      <c r="N53" s="4" t="s">
        <v>57</v>
      </c>
      <c r="O53" s="4" t="s">
        <v>350</v>
      </c>
      <c r="P53" s="4" t="s">
        <v>351</v>
      </c>
      <c r="Q53" s="4"/>
      <c r="R53" s="4"/>
      <c r="S53" s="4"/>
    </row>
    <row r="54" spans="1:19" ht="75">
      <c r="A54" s="4">
        <v>53</v>
      </c>
      <c r="B54" s="4" t="s">
        <v>352</v>
      </c>
      <c r="C54" s="4" t="s">
        <v>290</v>
      </c>
      <c r="D54" s="4" t="s">
        <v>291</v>
      </c>
      <c r="E54" s="4" t="s">
        <v>353</v>
      </c>
      <c r="F54" s="4" t="s">
        <v>354</v>
      </c>
      <c r="G54" s="4" t="s">
        <v>355</v>
      </c>
      <c r="H54" s="4" t="s">
        <v>295</v>
      </c>
      <c r="I54" s="4" t="s">
        <v>1104</v>
      </c>
      <c r="J54" s="4" t="s">
        <v>356</v>
      </c>
      <c r="K54" s="4" t="s">
        <v>297</v>
      </c>
      <c r="L54" s="4" t="s">
        <v>27</v>
      </c>
      <c r="M54" s="4" t="s">
        <v>69</v>
      </c>
      <c r="N54" s="4" t="s">
        <v>57</v>
      </c>
      <c r="O54" s="4" t="s">
        <v>357</v>
      </c>
      <c r="P54" s="4" t="s">
        <v>358</v>
      </c>
      <c r="Q54" s="4"/>
      <c r="R54" s="4"/>
      <c r="S54" s="4"/>
    </row>
    <row r="55" spans="1:19" ht="75">
      <c r="A55" s="4">
        <v>54</v>
      </c>
      <c r="B55" s="4" t="s">
        <v>359</v>
      </c>
      <c r="C55" s="4" t="s">
        <v>290</v>
      </c>
      <c r="D55" s="4" t="s">
        <v>291</v>
      </c>
      <c r="E55" s="4" t="s">
        <v>360</v>
      </c>
      <c r="F55" s="4" t="s">
        <v>361</v>
      </c>
      <c r="G55" s="4" t="s">
        <v>362</v>
      </c>
      <c r="H55" s="4" t="s">
        <v>295</v>
      </c>
      <c r="I55" s="4" t="s">
        <v>1105</v>
      </c>
      <c r="J55" s="4" t="s">
        <v>363</v>
      </c>
      <c r="K55" s="4" t="s">
        <v>297</v>
      </c>
      <c r="L55" s="4" t="s">
        <v>27</v>
      </c>
      <c r="M55" s="4" t="s">
        <v>69</v>
      </c>
      <c r="N55" s="4" t="s">
        <v>57</v>
      </c>
      <c r="O55" s="4" t="s">
        <v>364</v>
      </c>
      <c r="P55" s="4" t="s">
        <v>365</v>
      </c>
      <c r="Q55" s="4"/>
      <c r="R55" s="4"/>
      <c r="S55" s="4"/>
    </row>
    <row r="56" spans="1:19" ht="75">
      <c r="A56" s="4">
        <v>55</v>
      </c>
      <c r="B56" s="4" t="s">
        <v>366</v>
      </c>
      <c r="C56" s="4" t="s">
        <v>290</v>
      </c>
      <c r="D56" s="4" t="s">
        <v>291</v>
      </c>
      <c r="E56" s="4" t="s">
        <v>367</v>
      </c>
      <c r="F56" s="4" t="s">
        <v>368</v>
      </c>
      <c r="G56" s="4" t="s">
        <v>369</v>
      </c>
      <c r="H56" s="4" t="s">
        <v>295</v>
      </c>
      <c r="I56" s="4" t="s">
        <v>1106</v>
      </c>
      <c r="J56" s="4" t="s">
        <v>370</v>
      </c>
      <c r="K56" s="4" t="s">
        <v>297</v>
      </c>
      <c r="L56" s="4" t="s">
        <v>27</v>
      </c>
      <c r="M56" s="4" t="s">
        <v>142</v>
      </c>
      <c r="N56" s="4" t="s">
        <v>57</v>
      </c>
      <c r="O56" s="4" t="s">
        <v>371</v>
      </c>
      <c r="P56" s="4" t="s">
        <v>372</v>
      </c>
      <c r="Q56" s="4"/>
      <c r="R56" s="4"/>
      <c r="S56" s="4"/>
    </row>
    <row r="57" spans="1:19" ht="75">
      <c r="A57" s="4">
        <v>56</v>
      </c>
      <c r="B57" s="4" t="s">
        <v>373</v>
      </c>
      <c r="C57" s="4" t="s">
        <v>290</v>
      </c>
      <c r="D57" s="4" t="s">
        <v>291</v>
      </c>
      <c r="E57" s="4" t="s">
        <v>258</v>
      </c>
      <c r="F57" s="4" t="s">
        <v>374</v>
      </c>
      <c r="G57" s="4" t="s">
        <v>375</v>
      </c>
      <c r="H57" s="4" t="s">
        <v>295</v>
      </c>
      <c r="I57" s="4" t="s">
        <v>1107</v>
      </c>
      <c r="J57" s="4" t="s">
        <v>376</v>
      </c>
      <c r="K57" s="4" t="s">
        <v>297</v>
      </c>
      <c r="L57" s="4" t="s">
        <v>27</v>
      </c>
      <c r="M57" s="4" t="s">
        <v>28</v>
      </c>
      <c r="N57" s="4" t="s">
        <v>29</v>
      </c>
      <c r="O57" s="4"/>
      <c r="P57" s="4" t="s">
        <v>377</v>
      </c>
      <c r="Q57" s="4"/>
      <c r="R57" s="4"/>
      <c r="S57" s="4"/>
    </row>
    <row r="58" spans="1:19" ht="75">
      <c r="A58" s="4">
        <v>57</v>
      </c>
      <c r="B58" s="4" t="s">
        <v>378</v>
      </c>
      <c r="C58" s="4" t="s">
        <v>290</v>
      </c>
      <c r="D58" s="4" t="s">
        <v>291</v>
      </c>
      <c r="E58" s="4" t="s">
        <v>379</v>
      </c>
      <c r="F58" s="4" t="s">
        <v>380</v>
      </c>
      <c r="G58" s="4" t="s">
        <v>381</v>
      </c>
      <c r="H58" s="4" t="s">
        <v>295</v>
      </c>
      <c r="I58" s="4" t="s">
        <v>1108</v>
      </c>
      <c r="J58" s="4" t="s">
        <v>382</v>
      </c>
      <c r="K58" s="4" t="s">
        <v>297</v>
      </c>
      <c r="L58" s="4" t="s">
        <v>27</v>
      </c>
      <c r="M58" s="4" t="s">
        <v>69</v>
      </c>
      <c r="N58" s="4" t="s">
        <v>57</v>
      </c>
      <c r="O58" s="4" t="s">
        <v>267</v>
      </c>
      <c r="P58" s="4" t="s">
        <v>383</v>
      </c>
      <c r="Q58" s="4"/>
      <c r="R58" s="4"/>
      <c r="S58" s="4"/>
    </row>
    <row r="59" spans="1:19" ht="75">
      <c r="A59" s="4">
        <v>58</v>
      </c>
      <c r="B59" s="4" t="s">
        <v>384</v>
      </c>
      <c r="C59" s="4" t="s">
        <v>290</v>
      </c>
      <c r="D59" s="4" t="s">
        <v>291</v>
      </c>
      <c r="E59" s="4" t="s">
        <v>385</v>
      </c>
      <c r="F59" s="4" t="s">
        <v>386</v>
      </c>
      <c r="G59" s="4" t="s">
        <v>387</v>
      </c>
      <c r="H59" s="4" t="s">
        <v>295</v>
      </c>
      <c r="I59" s="4" t="s">
        <v>1109</v>
      </c>
      <c r="J59" s="4" t="s">
        <v>388</v>
      </c>
      <c r="K59" s="4" t="s">
        <v>297</v>
      </c>
      <c r="L59" s="4" t="s">
        <v>27</v>
      </c>
      <c r="M59" s="4" t="s">
        <v>28</v>
      </c>
      <c r="N59" s="4" t="s">
        <v>57</v>
      </c>
      <c r="O59" s="4" t="s">
        <v>389</v>
      </c>
      <c r="P59" s="4" t="s">
        <v>390</v>
      </c>
      <c r="Q59" s="4"/>
      <c r="R59" s="4"/>
      <c r="S59" s="4"/>
    </row>
    <row r="60" spans="1:19" ht="75">
      <c r="A60" s="4">
        <v>59</v>
      </c>
      <c r="B60" s="4" t="s">
        <v>391</v>
      </c>
      <c r="C60" s="4" t="s">
        <v>392</v>
      </c>
      <c r="D60" s="4" t="s">
        <v>393</v>
      </c>
      <c r="E60" s="4" t="s">
        <v>394</v>
      </c>
      <c r="F60" s="4" t="s">
        <v>395</v>
      </c>
      <c r="G60" s="4" t="s">
        <v>396</v>
      </c>
      <c r="H60" s="4" t="s">
        <v>397</v>
      </c>
      <c r="I60" s="4" t="s">
        <v>1160</v>
      </c>
      <c r="J60" s="4" t="s">
        <v>398</v>
      </c>
      <c r="K60" s="4" t="s">
        <v>399</v>
      </c>
      <c r="L60" s="4" t="s">
        <v>27</v>
      </c>
      <c r="M60" s="4" t="s">
        <v>28</v>
      </c>
      <c r="N60" s="4" t="s">
        <v>57</v>
      </c>
      <c r="O60" s="4" t="s">
        <v>400</v>
      </c>
      <c r="P60" s="4" t="s">
        <v>401</v>
      </c>
      <c r="Q60" s="4"/>
      <c r="R60" s="4"/>
      <c r="S60" s="4"/>
    </row>
    <row r="61" spans="1:19" ht="75">
      <c r="A61" s="4">
        <v>60</v>
      </c>
      <c r="B61" s="4" t="s">
        <v>402</v>
      </c>
      <c r="C61" s="4" t="s">
        <v>392</v>
      </c>
      <c r="D61" s="4" t="s">
        <v>393</v>
      </c>
      <c r="E61" s="4" t="s">
        <v>403</v>
      </c>
      <c r="F61" s="4" t="s">
        <v>404</v>
      </c>
      <c r="G61" s="4" t="s">
        <v>405</v>
      </c>
      <c r="H61" s="4" t="s">
        <v>397</v>
      </c>
      <c r="I61" s="4" t="s">
        <v>1161</v>
      </c>
      <c r="J61" s="4" t="s">
        <v>406</v>
      </c>
      <c r="K61" s="4" t="s">
        <v>399</v>
      </c>
      <c r="L61" s="4" t="s">
        <v>27</v>
      </c>
      <c r="M61" s="4" t="s">
        <v>28</v>
      </c>
      <c r="N61" s="4" t="s">
        <v>57</v>
      </c>
      <c r="O61" s="4" t="s">
        <v>407</v>
      </c>
      <c r="P61" s="4" t="s">
        <v>408</v>
      </c>
      <c r="Q61" s="4"/>
      <c r="R61" s="4"/>
      <c r="S61" s="4"/>
    </row>
    <row r="62" spans="1:19" ht="75">
      <c r="A62" s="4">
        <v>61</v>
      </c>
      <c r="B62" s="4" t="s">
        <v>409</v>
      </c>
      <c r="C62" s="4" t="s">
        <v>392</v>
      </c>
      <c r="D62" s="4" t="s">
        <v>393</v>
      </c>
      <c r="E62" s="4" t="s">
        <v>321</v>
      </c>
      <c r="F62" s="4" t="s">
        <v>410</v>
      </c>
      <c r="G62" s="4" t="s">
        <v>411</v>
      </c>
      <c r="H62" s="4" t="s">
        <v>397</v>
      </c>
      <c r="I62" s="4" t="s">
        <v>1162</v>
      </c>
      <c r="J62" s="4" t="s">
        <v>412</v>
      </c>
      <c r="K62" s="4" t="s">
        <v>399</v>
      </c>
      <c r="L62" s="4" t="s">
        <v>27</v>
      </c>
      <c r="M62" s="4" t="s">
        <v>28</v>
      </c>
      <c r="N62" s="4" t="s">
        <v>57</v>
      </c>
      <c r="O62" s="4" t="s">
        <v>413</v>
      </c>
      <c r="P62" s="4" t="s">
        <v>326</v>
      </c>
      <c r="Q62" s="4"/>
      <c r="R62" s="4"/>
      <c r="S62" s="4"/>
    </row>
    <row r="63" spans="1:19" ht="75">
      <c r="A63" s="4">
        <v>62</v>
      </c>
      <c r="B63" s="4" t="s">
        <v>414</v>
      </c>
      <c r="C63" s="4" t="s">
        <v>392</v>
      </c>
      <c r="D63" s="4" t="s">
        <v>393</v>
      </c>
      <c r="E63" s="4" t="s">
        <v>415</v>
      </c>
      <c r="F63" s="4" t="s">
        <v>416</v>
      </c>
      <c r="G63" s="4" t="s">
        <v>417</v>
      </c>
      <c r="H63" s="4" t="s">
        <v>397</v>
      </c>
      <c r="I63" s="4" t="s">
        <v>1163</v>
      </c>
      <c r="J63" s="4" t="s">
        <v>418</v>
      </c>
      <c r="K63" s="4" t="s">
        <v>399</v>
      </c>
      <c r="L63" s="4" t="s">
        <v>27</v>
      </c>
      <c r="M63" s="4" t="s">
        <v>69</v>
      </c>
      <c r="N63" s="4" t="s">
        <v>57</v>
      </c>
      <c r="O63" s="4" t="s">
        <v>419</v>
      </c>
      <c r="P63" s="4" t="s">
        <v>420</v>
      </c>
      <c r="Q63" s="4"/>
      <c r="R63" s="4"/>
      <c r="S63" s="4"/>
    </row>
    <row r="64" spans="1:19" ht="75">
      <c r="A64" s="4">
        <v>63</v>
      </c>
      <c r="B64" s="4" t="s">
        <v>421</v>
      </c>
      <c r="C64" s="4" t="s">
        <v>392</v>
      </c>
      <c r="D64" s="4" t="s">
        <v>393</v>
      </c>
      <c r="E64" s="4" t="s">
        <v>422</v>
      </c>
      <c r="F64" s="4" t="s">
        <v>423</v>
      </c>
      <c r="G64" s="4" t="s">
        <v>424</v>
      </c>
      <c r="H64" s="4" t="s">
        <v>397</v>
      </c>
      <c r="I64" s="4" t="s">
        <v>1164</v>
      </c>
      <c r="J64" s="4" t="s">
        <v>425</v>
      </c>
      <c r="K64" s="4" t="s">
        <v>399</v>
      </c>
      <c r="L64" s="4" t="s">
        <v>27</v>
      </c>
      <c r="M64" s="4" t="s">
        <v>69</v>
      </c>
      <c r="N64" s="4" t="s">
        <v>57</v>
      </c>
      <c r="O64" s="4" t="s">
        <v>426</v>
      </c>
      <c r="P64" s="4" t="s">
        <v>427</v>
      </c>
      <c r="Q64" s="4"/>
      <c r="R64" s="4"/>
      <c r="S64" s="4"/>
    </row>
    <row r="65" spans="1:19" ht="75">
      <c r="A65" s="4">
        <v>64</v>
      </c>
      <c r="B65" s="4" t="s">
        <v>428</v>
      </c>
      <c r="C65" s="4" t="s">
        <v>392</v>
      </c>
      <c r="D65" s="4" t="s">
        <v>393</v>
      </c>
      <c r="E65" s="4" t="s">
        <v>246</v>
      </c>
      <c r="F65" s="4" t="s">
        <v>429</v>
      </c>
      <c r="G65" s="4" t="s">
        <v>430</v>
      </c>
      <c r="H65" s="4" t="s">
        <v>397</v>
      </c>
      <c r="I65" s="4" t="s">
        <v>1165</v>
      </c>
      <c r="J65" s="4" t="s">
        <v>431</v>
      </c>
      <c r="K65" s="4" t="s">
        <v>399</v>
      </c>
      <c r="L65" s="4" t="s">
        <v>27</v>
      </c>
      <c r="M65" s="4" t="s">
        <v>69</v>
      </c>
      <c r="N65" s="4" t="s">
        <v>57</v>
      </c>
      <c r="O65" s="4" t="s">
        <v>250</v>
      </c>
      <c r="P65" s="4" t="s">
        <v>432</v>
      </c>
      <c r="Q65" s="4"/>
      <c r="R65" s="4"/>
      <c r="S65" s="4"/>
    </row>
    <row r="66" spans="1:19" ht="75">
      <c r="A66" s="4">
        <v>65</v>
      </c>
      <c r="B66" s="4" t="s">
        <v>433</v>
      </c>
      <c r="C66" s="4" t="s">
        <v>392</v>
      </c>
      <c r="D66" s="4" t="s">
        <v>393</v>
      </c>
      <c r="E66" s="4" t="s">
        <v>434</v>
      </c>
      <c r="F66" s="4" t="s">
        <v>435</v>
      </c>
      <c r="G66" s="4" t="s">
        <v>436</v>
      </c>
      <c r="H66" s="4" t="s">
        <v>397</v>
      </c>
      <c r="I66" s="4" t="s">
        <v>1166</v>
      </c>
      <c r="J66" s="4" t="s">
        <v>437</v>
      </c>
      <c r="K66" s="4" t="s">
        <v>399</v>
      </c>
      <c r="L66" s="4" t="s">
        <v>27</v>
      </c>
      <c r="M66" s="4" t="s">
        <v>142</v>
      </c>
      <c r="N66" s="4" t="s">
        <v>29</v>
      </c>
      <c r="O66" s="4"/>
      <c r="P66" s="4" t="s">
        <v>438</v>
      </c>
      <c r="Q66" s="4"/>
      <c r="R66" s="4"/>
      <c r="S66" s="4"/>
    </row>
    <row r="67" spans="1:19" ht="75">
      <c r="A67" s="4">
        <v>66</v>
      </c>
      <c r="B67" s="4" t="s">
        <v>439</v>
      </c>
      <c r="C67" s="4" t="s">
        <v>392</v>
      </c>
      <c r="D67" s="4" t="s">
        <v>393</v>
      </c>
      <c r="E67" s="4" t="s">
        <v>353</v>
      </c>
      <c r="F67" s="4" t="s">
        <v>440</v>
      </c>
      <c r="G67" s="4" t="s">
        <v>441</v>
      </c>
      <c r="H67" s="4" t="s">
        <v>397</v>
      </c>
      <c r="I67" s="4" t="s">
        <v>1167</v>
      </c>
      <c r="J67" s="4" t="s">
        <v>442</v>
      </c>
      <c r="K67" s="4" t="s">
        <v>399</v>
      </c>
      <c r="L67" s="4" t="s">
        <v>27</v>
      </c>
      <c r="M67" s="4" t="s">
        <v>69</v>
      </c>
      <c r="N67" s="4" t="s">
        <v>57</v>
      </c>
      <c r="O67" s="4" t="s">
        <v>443</v>
      </c>
      <c r="P67" s="4" t="s">
        <v>444</v>
      </c>
      <c r="Q67" s="4"/>
      <c r="R67" s="4"/>
      <c r="S67" s="4"/>
    </row>
    <row r="68" spans="1:19" ht="75">
      <c r="A68" s="4">
        <v>67</v>
      </c>
      <c r="B68" s="4" t="s">
        <v>445</v>
      </c>
      <c r="C68" s="4" t="s">
        <v>392</v>
      </c>
      <c r="D68" s="4" t="s">
        <v>393</v>
      </c>
      <c r="E68" s="4" t="s">
        <v>446</v>
      </c>
      <c r="F68" s="4" t="s">
        <v>447</v>
      </c>
      <c r="G68" s="4" t="s">
        <v>448</v>
      </c>
      <c r="H68" s="4" t="s">
        <v>397</v>
      </c>
      <c r="I68" s="4" t="s">
        <v>1168</v>
      </c>
      <c r="J68" s="4" t="s">
        <v>449</v>
      </c>
      <c r="K68" s="4" t="s">
        <v>399</v>
      </c>
      <c r="L68" s="4" t="s">
        <v>27</v>
      </c>
      <c r="M68" s="4" t="s">
        <v>69</v>
      </c>
      <c r="N68" s="4" t="s">
        <v>57</v>
      </c>
      <c r="O68" s="4" t="s">
        <v>450</v>
      </c>
      <c r="P68" s="4" t="s">
        <v>451</v>
      </c>
      <c r="Q68" s="4"/>
      <c r="R68" s="4"/>
      <c r="S68" s="4"/>
    </row>
    <row r="69" spans="1:19" ht="75">
      <c r="A69" s="4">
        <v>68</v>
      </c>
      <c r="B69" s="4" t="s">
        <v>452</v>
      </c>
      <c r="C69" s="4" t="s">
        <v>392</v>
      </c>
      <c r="D69" s="4" t="s">
        <v>393</v>
      </c>
      <c r="E69" s="4" t="s">
        <v>453</v>
      </c>
      <c r="F69" s="4" t="s">
        <v>454</v>
      </c>
      <c r="G69" s="4" t="s">
        <v>455</v>
      </c>
      <c r="H69" s="4" t="s">
        <v>397</v>
      </c>
      <c r="I69" s="4" t="s">
        <v>1169</v>
      </c>
      <c r="J69" s="4" t="s">
        <v>456</v>
      </c>
      <c r="K69" s="4" t="s">
        <v>399</v>
      </c>
      <c r="L69" s="4" t="s">
        <v>27</v>
      </c>
      <c r="M69" s="4" t="s">
        <v>28</v>
      </c>
      <c r="N69" s="4" t="s">
        <v>29</v>
      </c>
      <c r="O69" s="4"/>
      <c r="P69" s="4" t="s">
        <v>457</v>
      </c>
      <c r="Q69" s="4"/>
      <c r="R69" s="4"/>
      <c r="S69" s="4"/>
    </row>
    <row r="70" spans="1:19" ht="75">
      <c r="A70" s="4">
        <v>69</v>
      </c>
      <c r="B70" s="4" t="s">
        <v>458</v>
      </c>
      <c r="C70" s="4" t="s">
        <v>459</v>
      </c>
      <c r="D70" s="4" t="s">
        <v>460</v>
      </c>
      <c r="E70" s="4" t="s">
        <v>461</v>
      </c>
      <c r="F70" s="4" t="s">
        <v>462</v>
      </c>
      <c r="G70" s="4" t="s">
        <v>463</v>
      </c>
      <c r="H70" s="4" t="s">
        <v>464</v>
      </c>
      <c r="I70" s="4" t="s">
        <v>1170</v>
      </c>
      <c r="J70" s="4" t="s">
        <v>465</v>
      </c>
      <c r="K70" s="4" t="s">
        <v>466</v>
      </c>
      <c r="L70" s="4" t="s">
        <v>27</v>
      </c>
      <c r="M70" s="4" t="s">
        <v>69</v>
      </c>
      <c r="N70" s="4" t="s">
        <v>57</v>
      </c>
      <c r="O70" s="4" t="s">
        <v>467</v>
      </c>
      <c r="P70" s="4" t="s">
        <v>468</v>
      </c>
      <c r="Q70" s="4"/>
      <c r="R70" s="4"/>
      <c r="S70" s="4"/>
    </row>
    <row r="71" spans="1:19" ht="75">
      <c r="A71" s="4">
        <v>70</v>
      </c>
      <c r="B71" s="4" t="s">
        <v>469</v>
      </c>
      <c r="C71" s="4" t="s">
        <v>459</v>
      </c>
      <c r="D71" s="4" t="s">
        <v>460</v>
      </c>
      <c r="E71" s="4" t="s">
        <v>470</v>
      </c>
      <c r="F71" s="4" t="s">
        <v>471</v>
      </c>
      <c r="G71" s="4" t="s">
        <v>472</v>
      </c>
      <c r="H71" s="4" t="s">
        <v>464</v>
      </c>
      <c r="I71" s="4" t="s">
        <v>1171</v>
      </c>
      <c r="J71" s="4" t="s">
        <v>473</v>
      </c>
      <c r="K71" s="4" t="s">
        <v>466</v>
      </c>
      <c r="L71" s="4" t="s">
        <v>27</v>
      </c>
      <c r="M71" s="4" t="s">
        <v>28</v>
      </c>
      <c r="N71" s="4" t="s">
        <v>57</v>
      </c>
      <c r="O71" s="4" t="s">
        <v>474</v>
      </c>
      <c r="P71" s="4" t="s">
        <v>475</v>
      </c>
      <c r="Q71" s="4"/>
      <c r="R71" s="4"/>
      <c r="S71" s="4"/>
    </row>
    <row r="72" spans="1:19" ht="75">
      <c r="A72" s="4">
        <v>71</v>
      </c>
      <c r="B72" s="4" t="s">
        <v>476</v>
      </c>
      <c r="C72" s="4" t="s">
        <v>459</v>
      </c>
      <c r="D72" s="4" t="s">
        <v>460</v>
      </c>
      <c r="E72" s="4" t="s">
        <v>470</v>
      </c>
      <c r="F72" s="4" t="s">
        <v>477</v>
      </c>
      <c r="G72" s="4" t="s">
        <v>478</v>
      </c>
      <c r="H72" s="4" t="s">
        <v>464</v>
      </c>
      <c r="I72" s="4" t="s">
        <v>1172</v>
      </c>
      <c r="J72" s="4" t="s">
        <v>479</v>
      </c>
      <c r="K72" s="4" t="s">
        <v>466</v>
      </c>
      <c r="L72" s="4" t="s">
        <v>27</v>
      </c>
      <c r="M72" s="4" t="s">
        <v>28</v>
      </c>
      <c r="N72" s="4" t="s">
        <v>57</v>
      </c>
      <c r="O72" s="4" t="s">
        <v>480</v>
      </c>
      <c r="P72" s="4" t="s">
        <v>481</v>
      </c>
      <c r="Q72" s="4"/>
      <c r="R72" s="4"/>
      <c r="S72" s="4"/>
    </row>
    <row r="73" spans="1:19" ht="75">
      <c r="A73" s="4">
        <v>72</v>
      </c>
      <c r="B73" s="4" t="s">
        <v>482</v>
      </c>
      <c r="C73" s="4" t="s">
        <v>459</v>
      </c>
      <c r="D73" s="4" t="s">
        <v>460</v>
      </c>
      <c r="E73" s="4" t="s">
        <v>470</v>
      </c>
      <c r="F73" s="4" t="s">
        <v>483</v>
      </c>
      <c r="G73" s="4" t="s">
        <v>484</v>
      </c>
      <c r="H73" s="4" t="s">
        <v>464</v>
      </c>
      <c r="I73" s="4" t="s">
        <v>1173</v>
      </c>
      <c r="J73" s="4" t="s">
        <v>485</v>
      </c>
      <c r="K73" s="4" t="s">
        <v>466</v>
      </c>
      <c r="L73" s="4" t="s">
        <v>27</v>
      </c>
      <c r="M73" s="4" t="s">
        <v>28</v>
      </c>
      <c r="N73" s="4" t="s">
        <v>57</v>
      </c>
      <c r="O73" s="4" t="s">
        <v>486</v>
      </c>
      <c r="P73" s="4" t="s">
        <v>487</v>
      </c>
      <c r="Q73" s="4"/>
      <c r="R73" s="4"/>
      <c r="S73" s="4"/>
    </row>
    <row r="74" spans="1:19" ht="75">
      <c r="A74" s="4">
        <v>73</v>
      </c>
      <c r="B74" s="4" t="s">
        <v>488</v>
      </c>
      <c r="C74" s="4" t="s">
        <v>459</v>
      </c>
      <c r="D74" s="4" t="s">
        <v>460</v>
      </c>
      <c r="E74" s="4" t="s">
        <v>470</v>
      </c>
      <c r="F74" s="4" t="s">
        <v>489</v>
      </c>
      <c r="G74" s="4" t="s">
        <v>490</v>
      </c>
      <c r="H74" s="4" t="s">
        <v>464</v>
      </c>
      <c r="I74" s="4" t="s">
        <v>1174</v>
      </c>
      <c r="J74" s="4" t="s">
        <v>491</v>
      </c>
      <c r="K74" s="4" t="s">
        <v>466</v>
      </c>
      <c r="L74" s="4" t="s">
        <v>27</v>
      </c>
      <c r="M74" s="4" t="s">
        <v>69</v>
      </c>
      <c r="N74" s="4" t="s">
        <v>57</v>
      </c>
      <c r="O74" s="4" t="s">
        <v>492</v>
      </c>
      <c r="P74" s="4" t="s">
        <v>493</v>
      </c>
      <c r="Q74" s="4"/>
      <c r="R74" s="4"/>
      <c r="S74" s="4"/>
    </row>
    <row r="75" spans="1:19" ht="75">
      <c r="A75" s="4">
        <v>74</v>
      </c>
      <c r="B75" s="4" t="s">
        <v>494</v>
      </c>
      <c r="C75" s="4" t="s">
        <v>459</v>
      </c>
      <c r="D75" s="4" t="s">
        <v>460</v>
      </c>
      <c r="E75" s="4" t="s">
        <v>495</v>
      </c>
      <c r="F75" s="4" t="s">
        <v>496</v>
      </c>
      <c r="G75" s="4" t="s">
        <v>497</v>
      </c>
      <c r="H75" s="4" t="s">
        <v>464</v>
      </c>
      <c r="I75" s="4" t="s">
        <v>1175</v>
      </c>
      <c r="J75" s="4" t="s">
        <v>498</v>
      </c>
      <c r="K75" s="4" t="s">
        <v>466</v>
      </c>
      <c r="L75" s="4" t="s">
        <v>27</v>
      </c>
      <c r="M75" s="4" t="s">
        <v>69</v>
      </c>
      <c r="N75" s="4" t="s">
        <v>57</v>
      </c>
      <c r="O75" s="4" t="s">
        <v>499</v>
      </c>
      <c r="P75" s="4" t="s">
        <v>500</v>
      </c>
      <c r="Q75" s="4"/>
      <c r="R75" s="4"/>
      <c r="S75" s="4"/>
    </row>
    <row r="76" spans="1:19" ht="75">
      <c r="A76" s="4">
        <v>75</v>
      </c>
      <c r="B76" s="4" t="s">
        <v>501</v>
      </c>
      <c r="C76" s="4" t="s">
        <v>459</v>
      </c>
      <c r="D76" s="4" t="s">
        <v>460</v>
      </c>
      <c r="E76" s="4" t="s">
        <v>353</v>
      </c>
      <c r="F76" s="4" t="s">
        <v>502</v>
      </c>
      <c r="G76" s="4" t="s">
        <v>503</v>
      </c>
      <c r="H76" s="4" t="s">
        <v>464</v>
      </c>
      <c r="I76" s="4" t="s">
        <v>1176</v>
      </c>
      <c r="J76" s="4" t="s">
        <v>504</v>
      </c>
      <c r="K76" s="4" t="s">
        <v>466</v>
      </c>
      <c r="L76" s="4" t="s">
        <v>27</v>
      </c>
      <c r="M76" s="4" t="s">
        <v>69</v>
      </c>
      <c r="N76" s="4" t="s">
        <v>57</v>
      </c>
      <c r="O76" s="4" t="s">
        <v>443</v>
      </c>
      <c r="P76" s="4" t="s">
        <v>505</v>
      </c>
      <c r="Q76" s="4"/>
      <c r="R76" s="4"/>
      <c r="S76" s="4"/>
    </row>
    <row r="77" spans="1:19" ht="75">
      <c r="A77" s="4">
        <v>76</v>
      </c>
      <c r="B77" s="4" t="s">
        <v>506</v>
      </c>
      <c r="C77" s="4" t="s">
        <v>459</v>
      </c>
      <c r="D77" s="4" t="s">
        <v>460</v>
      </c>
      <c r="E77" s="4" t="s">
        <v>507</v>
      </c>
      <c r="F77" s="4" t="s">
        <v>508</v>
      </c>
      <c r="G77" s="4" t="s">
        <v>509</v>
      </c>
      <c r="H77" s="4" t="s">
        <v>464</v>
      </c>
      <c r="I77" s="4" t="s">
        <v>1177</v>
      </c>
      <c r="J77" s="4" t="s">
        <v>510</v>
      </c>
      <c r="K77" s="4" t="s">
        <v>466</v>
      </c>
      <c r="L77" s="4" t="s">
        <v>27</v>
      </c>
      <c r="M77" s="4" t="s">
        <v>69</v>
      </c>
      <c r="N77" s="4" t="s">
        <v>57</v>
      </c>
      <c r="O77" s="4" t="s">
        <v>511</v>
      </c>
      <c r="P77" s="4" t="s">
        <v>512</v>
      </c>
      <c r="Q77" s="4"/>
      <c r="R77" s="4"/>
      <c r="S77" s="4"/>
    </row>
    <row r="78" spans="1:19" ht="75">
      <c r="A78" s="4">
        <v>77</v>
      </c>
      <c r="B78" s="4" t="s">
        <v>513</v>
      </c>
      <c r="C78" s="4" t="s">
        <v>459</v>
      </c>
      <c r="D78" s="4" t="s">
        <v>460</v>
      </c>
      <c r="E78" s="4" t="s">
        <v>403</v>
      </c>
      <c r="F78" s="4" t="s">
        <v>514</v>
      </c>
      <c r="G78" s="4" t="s">
        <v>515</v>
      </c>
      <c r="H78" s="4" t="s">
        <v>464</v>
      </c>
      <c r="I78" s="4" t="s">
        <v>1178</v>
      </c>
      <c r="J78" s="4" t="s">
        <v>516</v>
      </c>
      <c r="K78" s="4" t="s">
        <v>466</v>
      </c>
      <c r="L78" s="4" t="s">
        <v>27</v>
      </c>
      <c r="M78" s="4" t="s">
        <v>69</v>
      </c>
      <c r="N78" s="4" t="s">
        <v>57</v>
      </c>
      <c r="O78" s="4" t="s">
        <v>517</v>
      </c>
      <c r="P78" s="4" t="s">
        <v>518</v>
      </c>
      <c r="Q78" s="4"/>
      <c r="R78" s="4"/>
      <c r="S78" s="4"/>
    </row>
    <row r="79" spans="1:19" ht="75">
      <c r="A79" s="4">
        <v>78</v>
      </c>
      <c r="B79" s="4" t="s">
        <v>519</v>
      </c>
      <c r="C79" s="4" t="s">
        <v>459</v>
      </c>
      <c r="D79" s="4" t="s">
        <v>460</v>
      </c>
      <c r="E79" s="4" t="s">
        <v>520</v>
      </c>
      <c r="F79" s="4" t="s">
        <v>521</v>
      </c>
      <c r="G79" s="4" t="s">
        <v>522</v>
      </c>
      <c r="H79" s="4" t="s">
        <v>464</v>
      </c>
      <c r="I79" s="4" t="s">
        <v>1179</v>
      </c>
      <c r="J79" s="4" t="s">
        <v>523</v>
      </c>
      <c r="K79" s="4" t="s">
        <v>466</v>
      </c>
      <c r="L79" s="4" t="s">
        <v>27</v>
      </c>
      <c r="M79" s="4" t="s">
        <v>142</v>
      </c>
      <c r="N79" s="4" t="s">
        <v>524</v>
      </c>
      <c r="O79" s="4" t="s">
        <v>525</v>
      </c>
      <c r="P79" s="4" t="s">
        <v>526</v>
      </c>
      <c r="Q79" s="4"/>
      <c r="R79" s="4"/>
      <c r="S79" s="4"/>
    </row>
    <row r="80" spans="1:19" ht="75">
      <c r="A80" s="4">
        <v>79</v>
      </c>
      <c r="B80" s="4" t="s">
        <v>527</v>
      </c>
      <c r="C80" s="4" t="s">
        <v>459</v>
      </c>
      <c r="D80" s="4" t="s">
        <v>460</v>
      </c>
      <c r="E80" s="4" t="s">
        <v>385</v>
      </c>
      <c r="F80" s="4" t="s">
        <v>528</v>
      </c>
      <c r="G80" s="4" t="s">
        <v>529</v>
      </c>
      <c r="H80" s="4" t="s">
        <v>464</v>
      </c>
      <c r="I80" s="4" t="s">
        <v>1180</v>
      </c>
      <c r="J80" s="4" t="s">
        <v>530</v>
      </c>
      <c r="K80" s="4" t="s">
        <v>466</v>
      </c>
      <c r="L80" s="4" t="s">
        <v>27</v>
      </c>
      <c r="M80" s="4" t="s">
        <v>69</v>
      </c>
      <c r="N80" s="4" t="s">
        <v>57</v>
      </c>
      <c r="O80" s="4" t="s">
        <v>531</v>
      </c>
      <c r="P80" s="4" t="s">
        <v>532</v>
      </c>
      <c r="Q80" s="4"/>
      <c r="R80" s="4"/>
      <c r="S80" s="4"/>
    </row>
    <row r="81" spans="1:19" ht="75">
      <c r="A81" s="4">
        <v>80</v>
      </c>
      <c r="B81" s="4" t="s">
        <v>533</v>
      </c>
      <c r="C81" s="4" t="s">
        <v>459</v>
      </c>
      <c r="D81" s="4" t="s">
        <v>460</v>
      </c>
      <c r="E81" s="4" t="s">
        <v>534</v>
      </c>
      <c r="F81" s="4" t="s">
        <v>535</v>
      </c>
      <c r="G81" s="4" t="s">
        <v>536</v>
      </c>
      <c r="H81" s="4" t="s">
        <v>464</v>
      </c>
      <c r="I81" s="4" t="s">
        <v>1181</v>
      </c>
      <c r="J81" s="4" t="s">
        <v>537</v>
      </c>
      <c r="K81" s="4" t="s">
        <v>466</v>
      </c>
      <c r="L81" s="4" t="s">
        <v>27</v>
      </c>
      <c r="M81" s="4" t="s">
        <v>28</v>
      </c>
      <c r="N81" s="4" t="s">
        <v>57</v>
      </c>
      <c r="O81" s="4" t="s">
        <v>538</v>
      </c>
      <c r="P81" s="4" t="s">
        <v>539</v>
      </c>
      <c r="Q81" s="4"/>
      <c r="R81" s="4"/>
      <c r="S81" s="4"/>
    </row>
    <row r="82" spans="1:19" ht="75">
      <c r="A82" s="4">
        <v>81</v>
      </c>
      <c r="B82" s="4" t="s">
        <v>540</v>
      </c>
      <c r="C82" s="4" t="s">
        <v>541</v>
      </c>
      <c r="D82" s="4" t="s">
        <v>1201</v>
      </c>
      <c r="E82" s="4" t="s">
        <v>542</v>
      </c>
      <c r="F82" s="4" t="s">
        <v>543</v>
      </c>
      <c r="G82" s="4" t="s">
        <v>544</v>
      </c>
      <c r="H82" s="4" t="s">
        <v>545</v>
      </c>
      <c r="I82" s="4" t="s">
        <v>1110</v>
      </c>
      <c r="J82" s="4" t="s">
        <v>546</v>
      </c>
      <c r="K82" s="4" t="s">
        <v>547</v>
      </c>
      <c r="L82" s="4" t="s">
        <v>27</v>
      </c>
      <c r="M82" s="4" t="s">
        <v>28</v>
      </c>
      <c r="N82" s="4" t="s">
        <v>29</v>
      </c>
      <c r="O82" s="4"/>
      <c r="P82" s="4" t="s">
        <v>548</v>
      </c>
      <c r="Q82" s="4"/>
      <c r="R82" s="4"/>
      <c r="S82" s="4"/>
    </row>
    <row r="83" spans="1:19" ht="75">
      <c r="A83" s="4">
        <v>82</v>
      </c>
      <c r="B83" s="4" t="s">
        <v>549</v>
      </c>
      <c r="C83" s="4" t="s">
        <v>541</v>
      </c>
      <c r="D83" s="4" t="s">
        <v>1201</v>
      </c>
      <c r="E83" s="4" t="s">
        <v>542</v>
      </c>
      <c r="F83" s="4" t="s">
        <v>550</v>
      </c>
      <c r="G83" s="4" t="s">
        <v>551</v>
      </c>
      <c r="H83" s="4" t="s">
        <v>545</v>
      </c>
      <c r="I83" s="4" t="s">
        <v>1111</v>
      </c>
      <c r="J83" s="4" t="s">
        <v>552</v>
      </c>
      <c r="K83" s="4" t="s">
        <v>547</v>
      </c>
      <c r="L83" s="4" t="s">
        <v>27</v>
      </c>
      <c r="M83" s="4" t="s">
        <v>28</v>
      </c>
      <c r="N83" s="4" t="s">
        <v>57</v>
      </c>
      <c r="O83" s="4" t="s">
        <v>553</v>
      </c>
      <c r="P83" s="4" t="s">
        <v>554</v>
      </c>
      <c r="Q83" s="4"/>
      <c r="R83" s="4"/>
      <c r="S83" s="4"/>
    </row>
    <row r="84" spans="1:19" ht="75">
      <c r="A84" s="4">
        <v>83</v>
      </c>
      <c r="B84" s="4" t="s">
        <v>555</v>
      </c>
      <c r="C84" s="4" t="s">
        <v>541</v>
      </c>
      <c r="D84" s="4" t="s">
        <v>1201</v>
      </c>
      <c r="E84" s="4" t="s">
        <v>335</v>
      </c>
      <c r="F84" s="4" t="s">
        <v>556</v>
      </c>
      <c r="G84" s="4" t="s">
        <v>557</v>
      </c>
      <c r="H84" s="4" t="s">
        <v>545</v>
      </c>
      <c r="I84" s="4" t="s">
        <v>1112</v>
      </c>
      <c r="J84" s="4" t="s">
        <v>558</v>
      </c>
      <c r="K84" s="4" t="s">
        <v>547</v>
      </c>
      <c r="L84" s="4" t="s">
        <v>27</v>
      </c>
      <c r="M84" s="4" t="s">
        <v>28</v>
      </c>
      <c r="N84" s="4" t="s">
        <v>57</v>
      </c>
      <c r="O84" s="4" t="s">
        <v>559</v>
      </c>
      <c r="P84" s="4" t="s">
        <v>560</v>
      </c>
      <c r="Q84" s="4"/>
      <c r="R84" s="4"/>
      <c r="S84" s="4"/>
    </row>
    <row r="85" spans="1:19" ht="75">
      <c r="A85" s="4">
        <v>84</v>
      </c>
      <c r="B85" s="4" t="s">
        <v>561</v>
      </c>
      <c r="C85" s="4" t="s">
        <v>541</v>
      </c>
      <c r="D85" s="4" t="s">
        <v>1201</v>
      </c>
      <c r="E85" s="4" t="s">
        <v>321</v>
      </c>
      <c r="F85" s="4" t="s">
        <v>562</v>
      </c>
      <c r="G85" s="4" t="s">
        <v>563</v>
      </c>
      <c r="H85" s="4" t="s">
        <v>545</v>
      </c>
      <c r="I85" s="4" t="s">
        <v>1113</v>
      </c>
      <c r="J85" s="4" t="s">
        <v>564</v>
      </c>
      <c r="K85" s="4" t="s">
        <v>547</v>
      </c>
      <c r="L85" s="4" t="s">
        <v>27</v>
      </c>
      <c r="M85" s="4" t="s">
        <v>28</v>
      </c>
      <c r="N85" s="4" t="s">
        <v>57</v>
      </c>
      <c r="O85" s="4" t="s">
        <v>413</v>
      </c>
      <c r="P85" s="4" t="s">
        <v>326</v>
      </c>
      <c r="Q85" s="4"/>
      <c r="R85" s="4"/>
      <c r="S85" s="4"/>
    </row>
    <row r="86" spans="1:19" ht="75">
      <c r="A86" s="4">
        <v>85</v>
      </c>
      <c r="B86" s="4" t="s">
        <v>565</v>
      </c>
      <c r="C86" s="4" t="s">
        <v>541</v>
      </c>
      <c r="D86" s="4" t="s">
        <v>1201</v>
      </c>
      <c r="E86" s="4" t="s">
        <v>403</v>
      </c>
      <c r="F86" s="4" t="s">
        <v>566</v>
      </c>
      <c r="G86" s="4" t="s">
        <v>567</v>
      </c>
      <c r="H86" s="4" t="s">
        <v>545</v>
      </c>
      <c r="I86" s="4" t="s">
        <v>1114</v>
      </c>
      <c r="J86" s="4" t="s">
        <v>568</v>
      </c>
      <c r="K86" s="4" t="s">
        <v>547</v>
      </c>
      <c r="L86" s="4" t="s">
        <v>27</v>
      </c>
      <c r="M86" s="4" t="s">
        <v>28</v>
      </c>
      <c r="N86" s="4" t="s">
        <v>57</v>
      </c>
      <c r="O86" s="4" t="s">
        <v>407</v>
      </c>
      <c r="P86" s="4" t="s">
        <v>569</v>
      </c>
      <c r="Q86" s="4"/>
      <c r="R86" s="4"/>
      <c r="S86" s="4"/>
    </row>
    <row r="87" spans="1:19" ht="75">
      <c r="A87" s="4">
        <v>86</v>
      </c>
      <c r="B87" s="4" t="s">
        <v>570</v>
      </c>
      <c r="C87" s="4" t="s">
        <v>541</v>
      </c>
      <c r="D87" s="4" t="s">
        <v>1201</v>
      </c>
      <c r="E87" s="4" t="s">
        <v>571</v>
      </c>
      <c r="F87" s="4" t="s">
        <v>572</v>
      </c>
      <c r="G87" s="4" t="s">
        <v>573</v>
      </c>
      <c r="H87" s="4" t="s">
        <v>545</v>
      </c>
      <c r="I87" s="4" t="s">
        <v>1115</v>
      </c>
      <c r="J87" s="4" t="s">
        <v>574</v>
      </c>
      <c r="K87" s="4" t="s">
        <v>547</v>
      </c>
      <c r="L87" s="4" t="s">
        <v>27</v>
      </c>
      <c r="M87" s="4" t="s">
        <v>28</v>
      </c>
      <c r="N87" s="4" t="s">
        <v>57</v>
      </c>
      <c r="O87" s="4" t="s">
        <v>400</v>
      </c>
      <c r="P87" s="4" t="s">
        <v>575</v>
      </c>
      <c r="Q87" s="4"/>
      <c r="R87" s="4"/>
      <c r="S87" s="4"/>
    </row>
    <row r="88" spans="1:19" ht="75">
      <c r="A88" s="4">
        <v>87</v>
      </c>
      <c r="B88" s="4" t="s">
        <v>576</v>
      </c>
      <c r="C88" s="4" t="s">
        <v>541</v>
      </c>
      <c r="D88" s="4" t="s">
        <v>1201</v>
      </c>
      <c r="E88" s="4" t="s">
        <v>577</v>
      </c>
      <c r="F88" s="4" t="s">
        <v>578</v>
      </c>
      <c r="G88" s="4" t="s">
        <v>579</v>
      </c>
      <c r="H88" s="4" t="s">
        <v>545</v>
      </c>
      <c r="I88" s="4" t="s">
        <v>1116</v>
      </c>
      <c r="J88" s="4" t="s">
        <v>580</v>
      </c>
      <c r="K88" s="4" t="s">
        <v>547</v>
      </c>
      <c r="L88" s="4" t="s">
        <v>27</v>
      </c>
      <c r="M88" s="4" t="s">
        <v>28</v>
      </c>
      <c r="N88" s="4" t="s">
        <v>29</v>
      </c>
      <c r="O88" s="4"/>
      <c r="P88" s="4" t="s">
        <v>581</v>
      </c>
      <c r="Q88" s="4"/>
      <c r="R88" s="4"/>
      <c r="S88" s="4"/>
    </row>
    <row r="89" spans="1:19" ht="75">
      <c r="A89" s="4">
        <v>88</v>
      </c>
      <c r="B89" s="4" t="s">
        <v>582</v>
      </c>
      <c r="C89" s="4" t="s">
        <v>541</v>
      </c>
      <c r="D89" s="4" t="s">
        <v>1201</v>
      </c>
      <c r="E89" s="4" t="s">
        <v>246</v>
      </c>
      <c r="F89" s="4" t="s">
        <v>583</v>
      </c>
      <c r="G89" s="4" t="s">
        <v>584</v>
      </c>
      <c r="H89" s="4" t="s">
        <v>545</v>
      </c>
      <c r="I89" s="4" t="s">
        <v>1117</v>
      </c>
      <c r="J89" s="4" t="s">
        <v>585</v>
      </c>
      <c r="K89" s="4" t="s">
        <v>547</v>
      </c>
      <c r="L89" s="4" t="s">
        <v>27</v>
      </c>
      <c r="M89" s="4" t="s">
        <v>28</v>
      </c>
      <c r="N89" s="4" t="s">
        <v>57</v>
      </c>
      <c r="O89" s="4" t="s">
        <v>250</v>
      </c>
      <c r="P89" s="4" t="s">
        <v>586</v>
      </c>
      <c r="Q89" s="4"/>
      <c r="R89" s="4"/>
      <c r="S89" s="4"/>
    </row>
    <row r="90" spans="1:19" ht="75">
      <c r="A90" s="4">
        <v>89</v>
      </c>
      <c r="B90" s="4" t="s">
        <v>587</v>
      </c>
      <c r="C90" s="4" t="s">
        <v>541</v>
      </c>
      <c r="D90" s="4" t="s">
        <v>1201</v>
      </c>
      <c r="E90" s="4" t="s">
        <v>258</v>
      </c>
      <c r="F90" s="4" t="s">
        <v>588</v>
      </c>
      <c r="G90" s="4" t="s">
        <v>589</v>
      </c>
      <c r="H90" s="4" t="s">
        <v>545</v>
      </c>
      <c r="I90" s="4" t="s">
        <v>1118</v>
      </c>
      <c r="J90" s="4" t="s">
        <v>590</v>
      </c>
      <c r="K90" s="4" t="s">
        <v>547</v>
      </c>
      <c r="L90" s="4" t="s">
        <v>27</v>
      </c>
      <c r="M90" s="4" t="s">
        <v>28</v>
      </c>
      <c r="N90" s="4" t="s">
        <v>29</v>
      </c>
      <c r="O90" s="4"/>
      <c r="P90" s="4" t="s">
        <v>262</v>
      </c>
      <c r="Q90" s="4"/>
      <c r="R90" s="4"/>
      <c r="S90" s="4"/>
    </row>
    <row r="91" spans="1:19" ht="75">
      <c r="A91" s="4">
        <v>90</v>
      </c>
      <c r="B91" s="4" t="s">
        <v>591</v>
      </c>
      <c r="C91" s="4" t="s">
        <v>541</v>
      </c>
      <c r="D91" s="4" t="s">
        <v>1201</v>
      </c>
      <c r="E91" s="4" t="s">
        <v>258</v>
      </c>
      <c r="F91" s="4" t="s">
        <v>592</v>
      </c>
      <c r="G91" s="4" t="s">
        <v>593</v>
      </c>
      <c r="H91" s="4" t="s">
        <v>545</v>
      </c>
      <c r="I91" s="4" t="s">
        <v>1119</v>
      </c>
      <c r="J91" s="4" t="s">
        <v>594</v>
      </c>
      <c r="K91" s="4" t="s">
        <v>547</v>
      </c>
      <c r="L91" s="4" t="s">
        <v>27</v>
      </c>
      <c r="M91" s="4" t="s">
        <v>28</v>
      </c>
      <c r="N91" s="4" t="s">
        <v>57</v>
      </c>
      <c r="O91" s="4" t="s">
        <v>267</v>
      </c>
      <c r="P91" s="4" t="s">
        <v>595</v>
      </c>
      <c r="Q91" s="4"/>
      <c r="R91" s="4"/>
      <c r="S91" s="4"/>
    </row>
    <row r="92" spans="1:19" ht="75">
      <c r="A92" s="4">
        <v>91</v>
      </c>
      <c r="B92" s="4" t="s">
        <v>596</v>
      </c>
      <c r="C92" s="4" t="s">
        <v>541</v>
      </c>
      <c r="D92" s="4" t="s">
        <v>1201</v>
      </c>
      <c r="E92" s="4" t="s">
        <v>597</v>
      </c>
      <c r="F92" s="4" t="s">
        <v>598</v>
      </c>
      <c r="G92" s="4" t="s">
        <v>599</v>
      </c>
      <c r="H92" s="4" t="s">
        <v>545</v>
      </c>
      <c r="I92" s="4" t="s">
        <v>1120</v>
      </c>
      <c r="J92" s="4" t="s">
        <v>600</v>
      </c>
      <c r="K92" s="4" t="s">
        <v>547</v>
      </c>
      <c r="L92" s="4" t="s">
        <v>27</v>
      </c>
      <c r="M92" s="4" t="s">
        <v>69</v>
      </c>
      <c r="N92" s="4" t="s">
        <v>57</v>
      </c>
      <c r="O92" s="4" t="s">
        <v>601</v>
      </c>
      <c r="P92" s="4" t="s">
        <v>602</v>
      </c>
      <c r="Q92" s="4"/>
      <c r="R92" s="4"/>
      <c r="S92" s="4"/>
    </row>
    <row r="93" spans="1:19" ht="75">
      <c r="A93" s="4">
        <v>92</v>
      </c>
      <c r="B93" s="4" t="s">
        <v>603</v>
      </c>
      <c r="C93" s="4" t="s">
        <v>541</v>
      </c>
      <c r="D93" s="4" t="s">
        <v>1201</v>
      </c>
      <c r="E93" s="4" t="s">
        <v>597</v>
      </c>
      <c r="F93" s="4" t="s">
        <v>604</v>
      </c>
      <c r="G93" s="4" t="s">
        <v>605</v>
      </c>
      <c r="H93" s="4" t="s">
        <v>545</v>
      </c>
      <c r="I93" s="4" t="s">
        <v>1121</v>
      </c>
      <c r="J93" s="4" t="s">
        <v>606</v>
      </c>
      <c r="K93" s="4" t="s">
        <v>547</v>
      </c>
      <c r="L93" s="4" t="s">
        <v>27</v>
      </c>
      <c r="M93" s="4" t="s">
        <v>142</v>
      </c>
      <c r="N93" s="4" t="s">
        <v>57</v>
      </c>
      <c r="O93" s="4"/>
      <c r="P93" s="4" t="s">
        <v>607</v>
      </c>
      <c r="Q93" s="4"/>
      <c r="R93" s="4"/>
      <c r="S93" s="4"/>
    </row>
    <row r="94" spans="1:19" ht="75">
      <c r="A94" s="4">
        <v>93</v>
      </c>
      <c r="B94" s="4" t="s">
        <v>608</v>
      </c>
      <c r="C94" s="4" t="s">
        <v>541</v>
      </c>
      <c r="D94" s="4" t="s">
        <v>1201</v>
      </c>
      <c r="E94" s="4" t="s">
        <v>609</v>
      </c>
      <c r="F94" s="4" t="s">
        <v>610</v>
      </c>
      <c r="G94" s="4" t="s">
        <v>611</v>
      </c>
      <c r="H94" s="4" t="s">
        <v>545</v>
      </c>
      <c r="I94" s="4" t="s">
        <v>1122</v>
      </c>
      <c r="J94" s="4" t="s">
        <v>612</v>
      </c>
      <c r="K94" s="4" t="s">
        <v>547</v>
      </c>
      <c r="L94" s="4" t="s">
        <v>27</v>
      </c>
      <c r="M94" s="4" t="s">
        <v>28</v>
      </c>
      <c r="N94" s="4" t="s">
        <v>524</v>
      </c>
      <c r="O94" s="4" t="s">
        <v>613</v>
      </c>
      <c r="P94" s="4" t="s">
        <v>614</v>
      </c>
      <c r="Q94" s="4"/>
      <c r="R94" s="4"/>
      <c r="S94" s="4"/>
    </row>
    <row r="95" spans="1:19" ht="75">
      <c r="A95" s="4">
        <v>94</v>
      </c>
      <c r="B95" s="4" t="s">
        <v>615</v>
      </c>
      <c r="C95" s="4" t="s">
        <v>541</v>
      </c>
      <c r="D95" s="4" t="s">
        <v>1201</v>
      </c>
      <c r="E95" s="4" t="s">
        <v>616</v>
      </c>
      <c r="F95" s="4" t="s">
        <v>617</v>
      </c>
      <c r="G95" s="4" t="s">
        <v>618</v>
      </c>
      <c r="H95" s="4" t="s">
        <v>545</v>
      </c>
      <c r="I95" s="4" t="s">
        <v>1123</v>
      </c>
      <c r="J95" s="4" t="s">
        <v>619</v>
      </c>
      <c r="K95" s="4" t="s">
        <v>547</v>
      </c>
      <c r="L95" s="4" t="s">
        <v>27</v>
      </c>
      <c r="M95" s="4" t="s">
        <v>28</v>
      </c>
      <c r="N95" s="4" t="s">
        <v>57</v>
      </c>
      <c r="O95" s="4" t="s">
        <v>620</v>
      </c>
      <c r="P95" s="4" t="s">
        <v>621</v>
      </c>
      <c r="Q95" s="4"/>
      <c r="R95" s="4"/>
      <c r="S95" s="4"/>
    </row>
    <row r="96" spans="1:19" ht="75">
      <c r="A96" s="4">
        <v>95</v>
      </c>
      <c r="B96" s="4" t="s">
        <v>622</v>
      </c>
      <c r="C96" s="4" t="s">
        <v>541</v>
      </c>
      <c r="D96" s="4" t="s">
        <v>1201</v>
      </c>
      <c r="E96" s="4" t="s">
        <v>616</v>
      </c>
      <c r="F96" s="4" t="s">
        <v>623</v>
      </c>
      <c r="G96" s="4" t="s">
        <v>624</v>
      </c>
      <c r="H96" s="4" t="s">
        <v>545</v>
      </c>
      <c r="I96" s="4" t="s">
        <v>1124</v>
      </c>
      <c r="J96" s="4" t="s">
        <v>625</v>
      </c>
      <c r="K96" s="4" t="s">
        <v>547</v>
      </c>
      <c r="L96" s="4" t="s">
        <v>27</v>
      </c>
      <c r="M96" s="4" t="s">
        <v>28</v>
      </c>
      <c r="N96" s="4" t="s">
        <v>57</v>
      </c>
      <c r="O96" s="4" t="s">
        <v>626</v>
      </c>
      <c r="P96" s="4" t="s">
        <v>627</v>
      </c>
      <c r="Q96" s="4"/>
      <c r="R96" s="4"/>
      <c r="S96" s="4"/>
    </row>
    <row r="97" spans="1:19" ht="75">
      <c r="A97" s="4">
        <v>96</v>
      </c>
      <c r="B97" s="4" t="s">
        <v>628</v>
      </c>
      <c r="C97" s="4" t="s">
        <v>541</v>
      </c>
      <c r="D97" s="4" t="s">
        <v>1201</v>
      </c>
      <c r="E97" s="4" t="s">
        <v>270</v>
      </c>
      <c r="F97" s="4" t="s">
        <v>629</v>
      </c>
      <c r="G97" s="4" t="s">
        <v>630</v>
      </c>
      <c r="H97" s="4" t="s">
        <v>545</v>
      </c>
      <c r="I97" s="4" t="s">
        <v>1125</v>
      </c>
      <c r="J97" s="4" t="s">
        <v>631</v>
      </c>
      <c r="K97" s="4" t="s">
        <v>547</v>
      </c>
      <c r="L97" s="4" t="s">
        <v>27</v>
      </c>
      <c r="M97" s="4" t="s">
        <v>28</v>
      </c>
      <c r="N97" s="4" t="s">
        <v>57</v>
      </c>
      <c r="O97" s="4" t="s">
        <v>632</v>
      </c>
      <c r="P97" s="4" t="s">
        <v>633</v>
      </c>
      <c r="Q97" s="4"/>
      <c r="R97" s="4"/>
      <c r="S97" s="4"/>
    </row>
    <row r="98" spans="1:19" ht="75">
      <c r="A98" s="4">
        <v>97</v>
      </c>
      <c r="B98" s="4" t="s">
        <v>634</v>
      </c>
      <c r="C98" s="4" t="s">
        <v>541</v>
      </c>
      <c r="D98" s="4" t="s">
        <v>1201</v>
      </c>
      <c r="E98" s="4" t="s">
        <v>385</v>
      </c>
      <c r="F98" s="4" t="s">
        <v>635</v>
      </c>
      <c r="G98" s="4" t="s">
        <v>636</v>
      </c>
      <c r="H98" s="4" t="s">
        <v>545</v>
      </c>
      <c r="I98" s="4" t="s">
        <v>1126</v>
      </c>
      <c r="J98" s="4" t="s">
        <v>637</v>
      </c>
      <c r="K98" s="4" t="s">
        <v>547</v>
      </c>
      <c r="L98" s="4" t="s">
        <v>27</v>
      </c>
      <c r="M98" s="4" t="s">
        <v>28</v>
      </c>
      <c r="N98" s="4" t="s">
        <v>29</v>
      </c>
      <c r="O98" s="4"/>
      <c r="P98" s="4" t="s">
        <v>638</v>
      </c>
      <c r="Q98" s="4"/>
      <c r="R98" s="4"/>
      <c r="S98" s="4"/>
    </row>
    <row r="99" spans="1:19" ht="75">
      <c r="A99" s="4">
        <v>98</v>
      </c>
      <c r="B99" s="4" t="s">
        <v>639</v>
      </c>
      <c r="C99" s="4" t="s">
        <v>541</v>
      </c>
      <c r="D99" s="4" t="s">
        <v>1201</v>
      </c>
      <c r="E99" s="4" t="s">
        <v>353</v>
      </c>
      <c r="F99" s="4" t="s">
        <v>640</v>
      </c>
      <c r="G99" s="4" t="s">
        <v>641</v>
      </c>
      <c r="H99" s="4" t="s">
        <v>545</v>
      </c>
      <c r="I99" s="4" t="s">
        <v>1127</v>
      </c>
      <c r="J99" s="4" t="s">
        <v>642</v>
      </c>
      <c r="K99" s="4" t="s">
        <v>547</v>
      </c>
      <c r="L99" s="4" t="s">
        <v>27</v>
      </c>
      <c r="M99" s="4" t="s">
        <v>69</v>
      </c>
      <c r="N99" s="4" t="s">
        <v>57</v>
      </c>
      <c r="O99" s="4" t="s">
        <v>443</v>
      </c>
      <c r="P99" s="4" t="s">
        <v>643</v>
      </c>
      <c r="Q99" s="4"/>
      <c r="R99" s="4"/>
      <c r="S99" s="4"/>
    </row>
    <row r="100" spans="1:19" ht="75">
      <c r="A100" s="4">
        <v>99</v>
      </c>
      <c r="B100" s="4" t="s">
        <v>644</v>
      </c>
      <c r="C100" s="4" t="s">
        <v>645</v>
      </c>
      <c r="D100" s="4" t="s">
        <v>646</v>
      </c>
      <c r="E100" s="4" t="s">
        <v>292</v>
      </c>
      <c r="F100" s="4" t="s">
        <v>647</v>
      </c>
      <c r="G100" s="4" t="s">
        <v>648</v>
      </c>
      <c r="H100" s="4" t="s">
        <v>649</v>
      </c>
      <c r="I100" s="4" t="s">
        <v>1128</v>
      </c>
      <c r="J100" s="4" t="s">
        <v>650</v>
      </c>
      <c r="K100" s="4" t="s">
        <v>651</v>
      </c>
      <c r="L100" s="4" t="s">
        <v>27</v>
      </c>
      <c r="M100" s="4" t="s">
        <v>28</v>
      </c>
      <c r="N100" s="4" t="s">
        <v>57</v>
      </c>
      <c r="O100" s="4" t="s">
        <v>652</v>
      </c>
      <c r="P100" s="4" t="s">
        <v>653</v>
      </c>
      <c r="Q100" s="4"/>
      <c r="R100" s="4"/>
      <c r="S100" s="4"/>
    </row>
    <row r="101" spans="1:19" ht="75">
      <c r="A101" s="4">
        <v>100</v>
      </c>
      <c r="B101" s="4" t="s">
        <v>654</v>
      </c>
      <c r="C101" s="4" t="s">
        <v>645</v>
      </c>
      <c r="D101" s="4" t="s">
        <v>646</v>
      </c>
      <c r="E101" s="4" t="s">
        <v>307</v>
      </c>
      <c r="F101" s="4" t="s">
        <v>655</v>
      </c>
      <c r="G101" s="4" t="s">
        <v>589</v>
      </c>
      <c r="H101" s="4" t="s">
        <v>649</v>
      </c>
      <c r="I101" s="4" t="s">
        <v>1129</v>
      </c>
      <c r="J101" s="4" t="s">
        <v>656</v>
      </c>
      <c r="K101" s="4" t="s">
        <v>651</v>
      </c>
      <c r="L101" s="4" t="s">
        <v>27</v>
      </c>
      <c r="M101" s="4" t="s">
        <v>28</v>
      </c>
      <c r="N101" s="4" t="s">
        <v>57</v>
      </c>
      <c r="O101" s="4" t="s">
        <v>657</v>
      </c>
      <c r="P101" s="4" t="s">
        <v>312</v>
      </c>
      <c r="Q101" s="4"/>
      <c r="R101" s="4"/>
      <c r="S101" s="4"/>
    </row>
    <row r="102" spans="1:19" ht="75">
      <c r="A102" s="4">
        <v>101</v>
      </c>
      <c r="B102" s="4" t="s">
        <v>658</v>
      </c>
      <c r="C102" s="4" t="s">
        <v>645</v>
      </c>
      <c r="D102" s="4" t="s">
        <v>646</v>
      </c>
      <c r="E102" s="4" t="s">
        <v>314</v>
      </c>
      <c r="F102" s="4" t="s">
        <v>659</v>
      </c>
      <c r="G102" s="4" t="s">
        <v>660</v>
      </c>
      <c r="H102" s="4" t="s">
        <v>649</v>
      </c>
      <c r="I102" s="4" t="s">
        <v>1130</v>
      </c>
      <c r="J102" s="4" t="s">
        <v>661</v>
      </c>
      <c r="K102" s="4" t="s">
        <v>651</v>
      </c>
      <c r="L102" s="4" t="s">
        <v>27</v>
      </c>
      <c r="M102" s="4" t="s">
        <v>28</v>
      </c>
      <c r="N102" s="4" t="s">
        <v>57</v>
      </c>
      <c r="O102" s="4" t="s">
        <v>298</v>
      </c>
      <c r="P102" s="4" t="s">
        <v>662</v>
      </c>
      <c r="Q102" s="4"/>
      <c r="R102" s="4"/>
      <c r="S102" s="4"/>
    </row>
    <row r="103" spans="1:19" ht="75">
      <c r="A103" s="4">
        <v>102</v>
      </c>
      <c r="B103" s="4" t="s">
        <v>663</v>
      </c>
      <c r="C103" s="4" t="s">
        <v>645</v>
      </c>
      <c r="D103" s="4" t="s">
        <v>646</v>
      </c>
      <c r="E103" s="4" t="s">
        <v>328</v>
      </c>
      <c r="F103" s="4" t="s">
        <v>664</v>
      </c>
      <c r="G103" s="4" t="s">
        <v>665</v>
      </c>
      <c r="H103" s="4" t="s">
        <v>649</v>
      </c>
      <c r="I103" s="4" t="s">
        <v>1131</v>
      </c>
      <c r="J103" s="4" t="s">
        <v>666</v>
      </c>
      <c r="K103" s="4" t="s">
        <v>651</v>
      </c>
      <c r="L103" s="4" t="s">
        <v>27</v>
      </c>
      <c r="M103" s="4" t="s">
        <v>28</v>
      </c>
      <c r="N103" s="4" t="s">
        <v>57</v>
      </c>
      <c r="O103" s="4" t="s">
        <v>250</v>
      </c>
      <c r="P103" s="4" t="s">
        <v>345</v>
      </c>
      <c r="Q103" s="4"/>
      <c r="R103" s="4"/>
      <c r="S103" s="4"/>
    </row>
    <row r="104" spans="1:19" ht="75">
      <c r="A104" s="4">
        <v>103</v>
      </c>
      <c r="B104" s="4" t="s">
        <v>667</v>
      </c>
      <c r="C104" s="4" t="s">
        <v>645</v>
      </c>
      <c r="D104" s="4" t="s">
        <v>646</v>
      </c>
      <c r="E104" s="4" t="s">
        <v>341</v>
      </c>
      <c r="F104" s="4" t="s">
        <v>668</v>
      </c>
      <c r="G104" s="4" t="s">
        <v>669</v>
      </c>
      <c r="H104" s="4" t="s">
        <v>649</v>
      </c>
      <c r="I104" s="4" t="s">
        <v>1132</v>
      </c>
      <c r="J104" s="4" t="s">
        <v>670</v>
      </c>
      <c r="K104" s="4" t="s">
        <v>651</v>
      </c>
      <c r="L104" s="4" t="s">
        <v>27</v>
      </c>
      <c r="M104" s="4" t="s">
        <v>28</v>
      </c>
      <c r="N104" s="4" t="s">
        <v>57</v>
      </c>
      <c r="O104" s="4" t="s">
        <v>620</v>
      </c>
      <c r="P104" s="4" t="s">
        <v>671</v>
      </c>
      <c r="Q104" s="4"/>
      <c r="R104" s="4"/>
      <c r="S104" s="4"/>
    </row>
    <row r="105" spans="1:19" ht="75">
      <c r="A105" s="4">
        <v>104</v>
      </c>
      <c r="B105" s="4" t="s">
        <v>672</v>
      </c>
      <c r="C105" s="4" t="s">
        <v>645</v>
      </c>
      <c r="D105" s="4" t="s">
        <v>646</v>
      </c>
      <c r="E105" s="4" t="s">
        <v>341</v>
      </c>
      <c r="F105" s="4" t="s">
        <v>673</v>
      </c>
      <c r="G105" s="4" t="s">
        <v>674</v>
      </c>
      <c r="H105" s="4" t="s">
        <v>649</v>
      </c>
      <c r="I105" s="4" t="s">
        <v>1133</v>
      </c>
      <c r="J105" s="4" t="s">
        <v>675</v>
      </c>
      <c r="K105" s="4" t="s">
        <v>651</v>
      </c>
      <c r="L105" s="4" t="s">
        <v>27</v>
      </c>
      <c r="M105" s="4" t="s">
        <v>28</v>
      </c>
      <c r="N105" s="4" t="s">
        <v>29</v>
      </c>
      <c r="O105" s="4" t="s">
        <v>620</v>
      </c>
      <c r="P105" s="4" t="s">
        <v>676</v>
      </c>
      <c r="Q105" s="4"/>
      <c r="R105" s="4"/>
      <c r="S105" s="4"/>
    </row>
    <row r="106" spans="1:19" ht="75">
      <c r="A106" s="4">
        <v>105</v>
      </c>
      <c r="B106" s="4" t="s">
        <v>677</v>
      </c>
      <c r="C106" s="4" t="s">
        <v>645</v>
      </c>
      <c r="D106" s="4" t="s">
        <v>646</v>
      </c>
      <c r="E106" s="4" t="s">
        <v>678</v>
      </c>
      <c r="F106" s="4" t="s">
        <v>679</v>
      </c>
      <c r="G106" s="4" t="s">
        <v>680</v>
      </c>
      <c r="H106" s="4" t="s">
        <v>649</v>
      </c>
      <c r="I106" s="4" t="s">
        <v>1134</v>
      </c>
      <c r="J106" s="4" t="s">
        <v>681</v>
      </c>
      <c r="K106" s="4" t="s">
        <v>651</v>
      </c>
      <c r="L106" s="4" t="s">
        <v>27</v>
      </c>
      <c r="M106" s="4" t="s">
        <v>28</v>
      </c>
      <c r="N106" s="4" t="s">
        <v>57</v>
      </c>
      <c r="O106" s="4" t="s">
        <v>682</v>
      </c>
      <c r="P106" s="4" t="s">
        <v>683</v>
      </c>
      <c r="Q106" s="4"/>
      <c r="R106" s="4"/>
      <c r="S106" s="4"/>
    </row>
    <row r="107" spans="1:19" ht="75">
      <c r="A107" s="4">
        <v>106</v>
      </c>
      <c r="B107" s="4" t="s">
        <v>684</v>
      </c>
      <c r="C107" s="4" t="s">
        <v>645</v>
      </c>
      <c r="D107" s="4" t="s">
        <v>646</v>
      </c>
      <c r="E107" s="4" t="s">
        <v>335</v>
      </c>
      <c r="F107" s="4" t="s">
        <v>685</v>
      </c>
      <c r="G107" s="4" t="s">
        <v>686</v>
      </c>
      <c r="H107" s="4" t="s">
        <v>649</v>
      </c>
      <c r="I107" s="4" t="s">
        <v>1135</v>
      </c>
      <c r="J107" s="4" t="s">
        <v>687</v>
      </c>
      <c r="K107" s="4" t="s">
        <v>651</v>
      </c>
      <c r="L107" s="4" t="s">
        <v>27</v>
      </c>
      <c r="M107" s="4" t="s">
        <v>28</v>
      </c>
      <c r="N107" s="4" t="s">
        <v>29</v>
      </c>
      <c r="O107" s="4"/>
      <c r="P107" s="4" t="s">
        <v>688</v>
      </c>
      <c r="Q107" s="4"/>
      <c r="R107" s="4"/>
      <c r="S107" s="4"/>
    </row>
    <row r="108" spans="1:19" ht="75">
      <c r="A108" s="4">
        <v>107</v>
      </c>
      <c r="B108" s="4" t="s">
        <v>689</v>
      </c>
      <c r="C108" s="4" t="s">
        <v>645</v>
      </c>
      <c r="D108" s="4" t="s">
        <v>646</v>
      </c>
      <c r="E108" s="4" t="s">
        <v>690</v>
      </c>
      <c r="F108" s="4" t="s">
        <v>691</v>
      </c>
      <c r="G108" s="4" t="s">
        <v>692</v>
      </c>
      <c r="H108" s="4" t="s">
        <v>649</v>
      </c>
      <c r="I108" s="4" t="s">
        <v>1136</v>
      </c>
      <c r="J108" s="4" t="s">
        <v>693</v>
      </c>
      <c r="K108" s="4" t="s">
        <v>651</v>
      </c>
      <c r="L108" s="4" t="s">
        <v>27</v>
      </c>
      <c r="M108" s="4" t="s">
        <v>28</v>
      </c>
      <c r="N108" s="4" t="s">
        <v>29</v>
      </c>
      <c r="O108" s="4"/>
      <c r="P108" s="4" t="s">
        <v>694</v>
      </c>
      <c r="Q108" s="4"/>
      <c r="R108" s="4"/>
      <c r="S108" s="4"/>
    </row>
    <row r="109" spans="1:19" ht="75">
      <c r="A109" s="4">
        <v>108</v>
      </c>
      <c r="B109" s="4" t="s">
        <v>695</v>
      </c>
      <c r="C109" s="4" t="s">
        <v>645</v>
      </c>
      <c r="D109" s="4" t="s">
        <v>646</v>
      </c>
      <c r="E109" s="4" t="s">
        <v>321</v>
      </c>
      <c r="F109" s="4" t="s">
        <v>696</v>
      </c>
      <c r="G109" s="4" t="s">
        <v>697</v>
      </c>
      <c r="H109" s="4" t="s">
        <v>649</v>
      </c>
      <c r="I109" s="4" t="s">
        <v>1137</v>
      </c>
      <c r="J109" s="4" t="s">
        <v>698</v>
      </c>
      <c r="K109" s="4" t="s">
        <v>651</v>
      </c>
      <c r="L109" s="4" t="s">
        <v>27</v>
      </c>
      <c r="M109" s="4" t="s">
        <v>28</v>
      </c>
      <c r="N109" s="4" t="s">
        <v>57</v>
      </c>
      <c r="O109" s="4" t="s">
        <v>413</v>
      </c>
      <c r="P109" s="4" t="s">
        <v>699</v>
      </c>
      <c r="Q109" s="4"/>
      <c r="R109" s="4"/>
      <c r="S109" s="4"/>
    </row>
    <row r="110" spans="1:19" ht="75">
      <c r="A110" s="4">
        <v>109</v>
      </c>
      <c r="B110" s="4" t="s">
        <v>700</v>
      </c>
      <c r="C110" s="4" t="s">
        <v>645</v>
      </c>
      <c r="D110" s="4" t="s">
        <v>646</v>
      </c>
      <c r="E110" s="4" t="s">
        <v>353</v>
      </c>
      <c r="F110" s="4" t="s">
        <v>701</v>
      </c>
      <c r="G110" s="4" t="s">
        <v>702</v>
      </c>
      <c r="H110" s="4" t="s">
        <v>649</v>
      </c>
      <c r="I110" s="4" t="s">
        <v>1138</v>
      </c>
      <c r="J110" s="4" t="s">
        <v>703</v>
      </c>
      <c r="K110" s="4" t="s">
        <v>651</v>
      </c>
      <c r="L110" s="4" t="s">
        <v>27</v>
      </c>
      <c r="M110" s="4" t="s">
        <v>69</v>
      </c>
      <c r="N110" s="4" t="s">
        <v>57</v>
      </c>
      <c r="O110" s="4" t="s">
        <v>443</v>
      </c>
      <c r="P110" s="4" t="s">
        <v>704</v>
      </c>
      <c r="Q110" s="4"/>
      <c r="R110" s="4"/>
      <c r="S110" s="4"/>
    </row>
    <row r="111" spans="1:19" ht="75">
      <c r="A111" s="4">
        <v>110</v>
      </c>
      <c r="B111" s="4" t="s">
        <v>705</v>
      </c>
      <c r="C111" s="4" t="s">
        <v>645</v>
      </c>
      <c r="D111" s="4" t="s">
        <v>646</v>
      </c>
      <c r="E111" s="4" t="s">
        <v>379</v>
      </c>
      <c r="F111" s="4" t="s">
        <v>706</v>
      </c>
      <c r="G111" s="4" t="s">
        <v>707</v>
      </c>
      <c r="H111" s="4" t="s">
        <v>649</v>
      </c>
      <c r="I111" s="4" t="s">
        <v>1139</v>
      </c>
      <c r="J111" s="4" t="s">
        <v>708</v>
      </c>
      <c r="K111" s="4" t="s">
        <v>651</v>
      </c>
      <c r="L111" s="4" t="s">
        <v>27</v>
      </c>
      <c r="M111" s="4" t="s">
        <v>69</v>
      </c>
      <c r="N111" s="4" t="s">
        <v>57</v>
      </c>
      <c r="O111" s="4" t="s">
        <v>267</v>
      </c>
      <c r="P111" s="4" t="s">
        <v>709</v>
      </c>
      <c r="Q111" s="4"/>
      <c r="R111" s="4"/>
      <c r="S111" s="4"/>
    </row>
    <row r="112" spans="1:19" ht="75">
      <c r="A112" s="4">
        <v>111</v>
      </c>
      <c r="B112" s="4" t="s">
        <v>710</v>
      </c>
      <c r="C112" s="4" t="s">
        <v>645</v>
      </c>
      <c r="D112" s="4" t="s">
        <v>646</v>
      </c>
      <c r="E112" s="4" t="s">
        <v>360</v>
      </c>
      <c r="F112" s="4" t="s">
        <v>711</v>
      </c>
      <c r="G112" s="4" t="s">
        <v>712</v>
      </c>
      <c r="H112" s="4" t="s">
        <v>649</v>
      </c>
      <c r="I112" s="4" t="s">
        <v>1140</v>
      </c>
      <c r="J112" s="4" t="s">
        <v>713</v>
      </c>
      <c r="K112" s="4" t="s">
        <v>651</v>
      </c>
      <c r="L112" s="4" t="s">
        <v>27</v>
      </c>
      <c r="M112" s="4" t="s">
        <v>69</v>
      </c>
      <c r="N112" s="4" t="s">
        <v>57</v>
      </c>
      <c r="O112" s="4" t="s">
        <v>364</v>
      </c>
      <c r="P112" s="4" t="s">
        <v>714</v>
      </c>
      <c r="Q112" s="4"/>
      <c r="R112" s="4"/>
      <c r="S112" s="4"/>
    </row>
    <row r="113" spans="1:19" ht="75">
      <c r="A113" s="4">
        <v>112</v>
      </c>
      <c r="B113" s="4" t="s">
        <v>715</v>
      </c>
      <c r="C113" s="4" t="s">
        <v>645</v>
      </c>
      <c r="D113" s="4" t="s">
        <v>646</v>
      </c>
      <c r="E113" s="4" t="s">
        <v>385</v>
      </c>
      <c r="F113" s="4" t="s">
        <v>716</v>
      </c>
      <c r="G113" s="4" t="s">
        <v>717</v>
      </c>
      <c r="H113" s="4" t="s">
        <v>649</v>
      </c>
      <c r="I113" s="4" t="s">
        <v>1141</v>
      </c>
      <c r="J113" s="4" t="s">
        <v>718</v>
      </c>
      <c r="K113" s="4" t="s">
        <v>651</v>
      </c>
      <c r="L113" s="4" t="s">
        <v>27</v>
      </c>
      <c r="M113" s="4" t="s">
        <v>28</v>
      </c>
      <c r="N113" s="4" t="s">
        <v>57</v>
      </c>
      <c r="O113" s="4" t="s">
        <v>389</v>
      </c>
      <c r="P113" s="4" t="s">
        <v>719</v>
      </c>
      <c r="Q113" s="4"/>
      <c r="R113" s="4"/>
      <c r="S113" s="4"/>
    </row>
    <row r="114" spans="1:19" ht="75">
      <c r="A114" s="4">
        <v>113</v>
      </c>
      <c r="B114" s="4" t="s">
        <v>720</v>
      </c>
      <c r="C114" s="4" t="s">
        <v>721</v>
      </c>
      <c r="D114" s="4" t="s">
        <v>722</v>
      </c>
      <c r="E114" s="4" t="s">
        <v>394</v>
      </c>
      <c r="F114" s="4" t="s">
        <v>395</v>
      </c>
      <c r="G114" s="4" t="s">
        <v>723</v>
      </c>
      <c r="H114" s="4" t="s">
        <v>724</v>
      </c>
      <c r="I114" s="4" t="s">
        <v>1182</v>
      </c>
      <c r="J114" s="4" t="s">
        <v>725</v>
      </c>
      <c r="K114" s="4" t="s">
        <v>726</v>
      </c>
      <c r="L114" s="4" t="s">
        <v>27</v>
      </c>
      <c r="M114" s="4" t="s">
        <v>28</v>
      </c>
      <c r="N114" s="4" t="s">
        <v>57</v>
      </c>
      <c r="O114" s="4" t="s">
        <v>400</v>
      </c>
      <c r="P114" s="4" t="s">
        <v>575</v>
      </c>
      <c r="Q114" s="4"/>
      <c r="R114" s="4"/>
      <c r="S114" s="4"/>
    </row>
    <row r="115" spans="1:19" ht="75">
      <c r="A115" s="4">
        <v>114</v>
      </c>
      <c r="B115" s="4" t="s">
        <v>727</v>
      </c>
      <c r="C115" s="4" t="s">
        <v>721</v>
      </c>
      <c r="D115" s="4" t="s">
        <v>722</v>
      </c>
      <c r="E115" s="4" t="s">
        <v>403</v>
      </c>
      <c r="F115" s="4" t="s">
        <v>404</v>
      </c>
      <c r="G115" s="4" t="s">
        <v>728</v>
      </c>
      <c r="H115" s="4" t="s">
        <v>724</v>
      </c>
      <c r="I115" s="4" t="s">
        <v>1183</v>
      </c>
      <c r="J115" s="4" t="s">
        <v>729</v>
      </c>
      <c r="K115" s="4" t="s">
        <v>726</v>
      </c>
      <c r="L115" s="4" t="s">
        <v>27</v>
      </c>
      <c r="M115" s="4" t="s">
        <v>28</v>
      </c>
      <c r="N115" s="4" t="s">
        <v>57</v>
      </c>
      <c r="O115" s="4" t="s">
        <v>407</v>
      </c>
      <c r="P115" s="4" t="s">
        <v>730</v>
      </c>
      <c r="Q115" s="4"/>
      <c r="R115" s="4"/>
      <c r="S115" s="4"/>
    </row>
    <row r="116" spans="1:19" ht="75">
      <c r="A116" s="4">
        <v>115</v>
      </c>
      <c r="B116" s="4" t="s">
        <v>731</v>
      </c>
      <c r="C116" s="4" t="s">
        <v>721</v>
      </c>
      <c r="D116" s="4" t="s">
        <v>722</v>
      </c>
      <c r="E116" s="4" t="s">
        <v>321</v>
      </c>
      <c r="F116" s="4" t="s">
        <v>410</v>
      </c>
      <c r="G116" s="4" t="s">
        <v>732</v>
      </c>
      <c r="H116" s="4" t="s">
        <v>724</v>
      </c>
      <c r="I116" s="4" t="s">
        <v>1184</v>
      </c>
      <c r="J116" s="4" t="s">
        <v>733</v>
      </c>
      <c r="K116" s="4" t="s">
        <v>726</v>
      </c>
      <c r="L116" s="4" t="s">
        <v>27</v>
      </c>
      <c r="M116" s="4" t="s">
        <v>28</v>
      </c>
      <c r="N116" s="4" t="s">
        <v>57</v>
      </c>
      <c r="O116" s="4" t="s">
        <v>413</v>
      </c>
      <c r="P116" s="4" t="s">
        <v>326</v>
      </c>
      <c r="Q116" s="4"/>
      <c r="R116" s="4"/>
      <c r="S116" s="4"/>
    </row>
    <row r="117" spans="1:19" ht="75">
      <c r="A117" s="4">
        <v>116</v>
      </c>
      <c r="B117" s="4" t="s">
        <v>734</v>
      </c>
      <c r="C117" s="4" t="s">
        <v>721</v>
      </c>
      <c r="D117" s="4" t="s">
        <v>722</v>
      </c>
      <c r="E117" s="4" t="s">
        <v>422</v>
      </c>
      <c r="F117" s="4" t="s">
        <v>735</v>
      </c>
      <c r="G117" s="4" t="s">
        <v>736</v>
      </c>
      <c r="H117" s="4" t="s">
        <v>724</v>
      </c>
      <c r="I117" s="4" t="s">
        <v>1185</v>
      </c>
      <c r="J117" s="4" t="s">
        <v>737</v>
      </c>
      <c r="K117" s="4" t="s">
        <v>726</v>
      </c>
      <c r="L117" s="4" t="s">
        <v>27</v>
      </c>
      <c r="M117" s="4" t="s">
        <v>69</v>
      </c>
      <c r="N117" s="4" t="s">
        <v>57</v>
      </c>
      <c r="O117" s="4" t="s">
        <v>267</v>
      </c>
      <c r="P117" s="4" t="s">
        <v>738</v>
      </c>
      <c r="Q117" s="4"/>
      <c r="R117" s="4"/>
      <c r="S117" s="4"/>
    </row>
    <row r="118" spans="1:19" ht="75">
      <c r="A118" s="4">
        <v>117</v>
      </c>
      <c r="B118" s="4" t="s">
        <v>739</v>
      </c>
      <c r="C118" s="4" t="s">
        <v>721</v>
      </c>
      <c r="D118" s="4" t="s">
        <v>722</v>
      </c>
      <c r="E118" s="4" t="s">
        <v>246</v>
      </c>
      <c r="F118" s="4" t="s">
        <v>740</v>
      </c>
      <c r="G118" s="4" t="s">
        <v>741</v>
      </c>
      <c r="H118" s="4" t="s">
        <v>724</v>
      </c>
      <c r="I118" s="4" t="s">
        <v>1186</v>
      </c>
      <c r="J118" s="4" t="s">
        <v>742</v>
      </c>
      <c r="K118" s="4" t="s">
        <v>726</v>
      </c>
      <c r="L118" s="4" t="s">
        <v>27</v>
      </c>
      <c r="M118" s="4" t="s">
        <v>69</v>
      </c>
      <c r="N118" s="4" t="s">
        <v>57</v>
      </c>
      <c r="O118" s="4" t="s">
        <v>250</v>
      </c>
      <c r="P118" s="4" t="s">
        <v>743</v>
      </c>
      <c r="Q118" s="4"/>
      <c r="R118" s="4"/>
      <c r="S118" s="4"/>
    </row>
    <row r="119" spans="1:19" ht="75">
      <c r="A119" s="4">
        <v>118</v>
      </c>
      <c r="B119" s="4" t="s">
        <v>744</v>
      </c>
      <c r="C119" s="4" t="s">
        <v>721</v>
      </c>
      <c r="D119" s="4" t="s">
        <v>722</v>
      </c>
      <c r="E119" s="4" t="s">
        <v>534</v>
      </c>
      <c r="F119" s="4" t="s">
        <v>745</v>
      </c>
      <c r="G119" s="4" t="s">
        <v>746</v>
      </c>
      <c r="H119" s="4" t="s">
        <v>724</v>
      </c>
      <c r="I119" s="4" t="s">
        <v>1187</v>
      </c>
      <c r="J119" s="4" t="s">
        <v>747</v>
      </c>
      <c r="K119" s="4" t="s">
        <v>726</v>
      </c>
      <c r="L119" s="4" t="s">
        <v>27</v>
      </c>
      <c r="M119" s="4" t="s">
        <v>28</v>
      </c>
      <c r="N119" s="4" t="s">
        <v>29</v>
      </c>
      <c r="O119" s="4"/>
      <c r="P119" s="4" t="s">
        <v>748</v>
      </c>
      <c r="Q119" s="4"/>
      <c r="R119" s="4"/>
      <c r="S119" s="4"/>
    </row>
    <row r="120" spans="1:19" ht="75">
      <c r="A120" s="4">
        <v>119</v>
      </c>
      <c r="B120" s="4" t="s">
        <v>749</v>
      </c>
      <c r="C120" s="4" t="s">
        <v>721</v>
      </c>
      <c r="D120" s="4" t="s">
        <v>722</v>
      </c>
      <c r="E120" s="4" t="s">
        <v>434</v>
      </c>
      <c r="F120" s="4" t="s">
        <v>750</v>
      </c>
      <c r="G120" s="4" t="s">
        <v>751</v>
      </c>
      <c r="H120" s="4" t="s">
        <v>724</v>
      </c>
      <c r="I120" s="4" t="s">
        <v>1188</v>
      </c>
      <c r="J120" s="4" t="s">
        <v>752</v>
      </c>
      <c r="K120" s="4" t="s">
        <v>726</v>
      </c>
      <c r="L120" s="4" t="s">
        <v>27</v>
      </c>
      <c r="M120" s="4" t="s">
        <v>142</v>
      </c>
      <c r="N120" s="4" t="s">
        <v>29</v>
      </c>
      <c r="O120" s="4"/>
      <c r="P120" s="4" t="s">
        <v>438</v>
      </c>
      <c r="Q120" s="4"/>
      <c r="R120" s="4"/>
      <c r="S120" s="4"/>
    </row>
    <row r="121" spans="1:19" ht="75">
      <c r="A121" s="4">
        <v>120</v>
      </c>
      <c r="B121" s="4" t="s">
        <v>753</v>
      </c>
      <c r="C121" s="4" t="s">
        <v>721</v>
      </c>
      <c r="D121" s="4" t="s">
        <v>722</v>
      </c>
      <c r="E121" s="4" t="s">
        <v>446</v>
      </c>
      <c r="F121" s="4" t="s">
        <v>754</v>
      </c>
      <c r="G121" s="4" t="s">
        <v>755</v>
      </c>
      <c r="H121" s="4" t="s">
        <v>724</v>
      </c>
      <c r="I121" s="4" t="s">
        <v>1189</v>
      </c>
      <c r="J121" s="4" t="s">
        <v>756</v>
      </c>
      <c r="K121" s="4" t="s">
        <v>726</v>
      </c>
      <c r="L121" s="4" t="s">
        <v>27</v>
      </c>
      <c r="M121" s="4" t="s">
        <v>69</v>
      </c>
      <c r="N121" s="4" t="s">
        <v>57</v>
      </c>
      <c r="O121" s="4" t="s">
        <v>757</v>
      </c>
      <c r="P121" s="4" t="s">
        <v>758</v>
      </c>
      <c r="Q121" s="4"/>
      <c r="R121" s="4"/>
      <c r="S121" s="4"/>
    </row>
    <row r="122" spans="1:19" ht="75">
      <c r="A122" s="4">
        <v>121</v>
      </c>
      <c r="B122" s="4" t="s">
        <v>759</v>
      </c>
      <c r="C122" s="4" t="s">
        <v>760</v>
      </c>
      <c r="D122" s="4" t="s">
        <v>761</v>
      </c>
      <c r="E122" s="4" t="s">
        <v>470</v>
      </c>
      <c r="F122" s="4" t="s">
        <v>762</v>
      </c>
      <c r="G122" s="4" t="s">
        <v>763</v>
      </c>
      <c r="H122" s="4" t="s">
        <v>764</v>
      </c>
      <c r="I122" s="4" t="s">
        <v>1190</v>
      </c>
      <c r="J122" s="4" t="s">
        <v>765</v>
      </c>
      <c r="K122" s="4" t="s">
        <v>766</v>
      </c>
      <c r="L122" s="4" t="s">
        <v>27</v>
      </c>
      <c r="M122" s="4" t="s">
        <v>28</v>
      </c>
      <c r="N122" s="4" t="s">
        <v>57</v>
      </c>
      <c r="O122" s="4" t="s">
        <v>474</v>
      </c>
      <c r="P122" s="4" t="s">
        <v>475</v>
      </c>
      <c r="Q122" s="4"/>
      <c r="R122" s="4"/>
      <c r="S122" s="4"/>
    </row>
    <row r="123" spans="1:19" ht="75">
      <c r="A123" s="4">
        <v>122</v>
      </c>
      <c r="B123" s="4" t="s">
        <v>767</v>
      </c>
      <c r="C123" s="4" t="s">
        <v>760</v>
      </c>
      <c r="D123" s="4" t="s">
        <v>761</v>
      </c>
      <c r="E123" s="4" t="s">
        <v>470</v>
      </c>
      <c r="F123" s="4" t="s">
        <v>768</v>
      </c>
      <c r="G123" s="4" t="s">
        <v>769</v>
      </c>
      <c r="H123" s="4" t="s">
        <v>764</v>
      </c>
      <c r="I123" s="4" t="s">
        <v>1191</v>
      </c>
      <c r="J123" s="4" t="s">
        <v>770</v>
      </c>
      <c r="K123" s="4" t="s">
        <v>766</v>
      </c>
      <c r="L123" s="4" t="s">
        <v>27</v>
      </c>
      <c r="M123" s="4" t="s">
        <v>28</v>
      </c>
      <c r="N123" s="4" t="s">
        <v>57</v>
      </c>
      <c r="O123" s="4" t="s">
        <v>480</v>
      </c>
      <c r="P123" s="4" t="s">
        <v>481</v>
      </c>
      <c r="Q123" s="4"/>
      <c r="R123" s="4"/>
      <c r="S123" s="4"/>
    </row>
    <row r="124" spans="1:19" ht="75">
      <c r="A124" s="4">
        <v>123</v>
      </c>
      <c r="B124" s="4" t="s">
        <v>771</v>
      </c>
      <c r="C124" s="4" t="s">
        <v>760</v>
      </c>
      <c r="D124" s="4" t="s">
        <v>761</v>
      </c>
      <c r="E124" s="4" t="s">
        <v>470</v>
      </c>
      <c r="F124" s="4" t="s">
        <v>772</v>
      </c>
      <c r="G124" s="4" t="s">
        <v>773</v>
      </c>
      <c r="H124" s="4" t="s">
        <v>764</v>
      </c>
      <c r="I124" s="4" t="s">
        <v>1192</v>
      </c>
      <c r="J124" s="4" t="s">
        <v>774</v>
      </c>
      <c r="K124" s="4" t="s">
        <v>766</v>
      </c>
      <c r="L124" s="4" t="s">
        <v>27</v>
      </c>
      <c r="M124" s="4" t="s">
        <v>28</v>
      </c>
      <c r="N124" s="4" t="s">
        <v>57</v>
      </c>
      <c r="O124" s="4" t="s">
        <v>486</v>
      </c>
      <c r="P124" s="4" t="s">
        <v>487</v>
      </c>
      <c r="Q124" s="4"/>
      <c r="R124" s="4"/>
      <c r="S124" s="4"/>
    </row>
    <row r="125" spans="1:19" ht="75">
      <c r="A125" s="4">
        <v>124</v>
      </c>
      <c r="B125" s="4" t="s">
        <v>775</v>
      </c>
      <c r="C125" s="4" t="s">
        <v>760</v>
      </c>
      <c r="D125" s="4" t="s">
        <v>761</v>
      </c>
      <c r="E125" s="4" t="s">
        <v>470</v>
      </c>
      <c r="F125" s="4" t="s">
        <v>776</v>
      </c>
      <c r="G125" s="4" t="s">
        <v>777</v>
      </c>
      <c r="H125" s="4" t="s">
        <v>764</v>
      </c>
      <c r="I125" s="4" t="s">
        <v>1193</v>
      </c>
      <c r="J125" s="4" t="s">
        <v>778</v>
      </c>
      <c r="K125" s="4" t="s">
        <v>766</v>
      </c>
      <c r="L125" s="4" t="s">
        <v>27</v>
      </c>
      <c r="M125" s="4" t="s">
        <v>69</v>
      </c>
      <c r="N125" s="4" t="s">
        <v>57</v>
      </c>
      <c r="O125" s="4" t="s">
        <v>492</v>
      </c>
      <c r="P125" s="4" t="s">
        <v>779</v>
      </c>
      <c r="Q125" s="4"/>
      <c r="R125" s="4"/>
      <c r="S125" s="4"/>
    </row>
    <row r="126" spans="1:19" ht="75">
      <c r="A126" s="4">
        <v>125</v>
      </c>
      <c r="B126" s="4" t="s">
        <v>780</v>
      </c>
      <c r="C126" s="4" t="s">
        <v>760</v>
      </c>
      <c r="D126" s="4" t="s">
        <v>761</v>
      </c>
      <c r="E126" s="4" t="s">
        <v>461</v>
      </c>
      <c r="F126" s="4" t="s">
        <v>781</v>
      </c>
      <c r="G126" s="4" t="s">
        <v>782</v>
      </c>
      <c r="H126" s="4" t="s">
        <v>764</v>
      </c>
      <c r="I126" s="4" t="s">
        <v>1194</v>
      </c>
      <c r="J126" s="4" t="s">
        <v>783</v>
      </c>
      <c r="K126" s="4" t="s">
        <v>766</v>
      </c>
      <c r="L126" s="4" t="s">
        <v>27</v>
      </c>
      <c r="M126" s="4" t="s">
        <v>69</v>
      </c>
      <c r="N126" s="4" t="s">
        <v>57</v>
      </c>
      <c r="O126" s="4" t="s">
        <v>467</v>
      </c>
      <c r="P126" s="4" t="s">
        <v>784</v>
      </c>
      <c r="Q126" s="4"/>
      <c r="R126" s="4"/>
      <c r="S126" s="4"/>
    </row>
    <row r="127" spans="1:19" ht="75">
      <c r="A127" s="4">
        <v>126</v>
      </c>
      <c r="B127" s="4" t="s">
        <v>785</v>
      </c>
      <c r="C127" s="4" t="s">
        <v>760</v>
      </c>
      <c r="D127" s="4" t="s">
        <v>761</v>
      </c>
      <c r="E127" s="4" t="s">
        <v>353</v>
      </c>
      <c r="F127" s="4" t="s">
        <v>502</v>
      </c>
      <c r="G127" s="4" t="s">
        <v>786</v>
      </c>
      <c r="H127" s="4" t="s">
        <v>764</v>
      </c>
      <c r="I127" s="4" t="s">
        <v>1195</v>
      </c>
      <c r="J127" s="4" t="s">
        <v>787</v>
      </c>
      <c r="K127" s="4" t="s">
        <v>766</v>
      </c>
      <c r="L127" s="4" t="s">
        <v>27</v>
      </c>
      <c r="M127" s="4" t="s">
        <v>28</v>
      </c>
      <c r="N127" s="4" t="s">
        <v>57</v>
      </c>
      <c r="O127" s="4" t="s">
        <v>443</v>
      </c>
      <c r="P127" s="4" t="s">
        <v>788</v>
      </c>
      <c r="Q127" s="4"/>
      <c r="R127" s="4"/>
      <c r="S127" s="4"/>
    </row>
    <row r="128" spans="1:19" ht="75">
      <c r="A128" s="4">
        <v>127</v>
      </c>
      <c r="B128" s="4" t="s">
        <v>789</v>
      </c>
      <c r="C128" s="4" t="s">
        <v>760</v>
      </c>
      <c r="D128" s="4" t="s">
        <v>761</v>
      </c>
      <c r="E128" s="4" t="s">
        <v>790</v>
      </c>
      <c r="F128" s="4" t="s">
        <v>791</v>
      </c>
      <c r="G128" s="4" t="s">
        <v>792</v>
      </c>
      <c r="H128" s="4" t="s">
        <v>764</v>
      </c>
      <c r="I128" s="4" t="s">
        <v>1196</v>
      </c>
      <c r="J128" s="4" t="s">
        <v>793</v>
      </c>
      <c r="K128" s="4" t="s">
        <v>766</v>
      </c>
      <c r="L128" s="4" t="s">
        <v>27</v>
      </c>
      <c r="M128" s="4" t="s">
        <v>69</v>
      </c>
      <c r="N128" s="4" t="s">
        <v>57</v>
      </c>
      <c r="O128" s="4" t="s">
        <v>794</v>
      </c>
      <c r="P128" s="4" t="s">
        <v>795</v>
      </c>
      <c r="Q128" s="4"/>
      <c r="R128" s="4"/>
      <c r="S128" s="4"/>
    </row>
    <row r="129" spans="1:19" ht="75">
      <c r="A129" s="4">
        <v>128</v>
      </c>
      <c r="B129" s="4" t="s">
        <v>796</v>
      </c>
      <c r="C129" s="4" t="s">
        <v>760</v>
      </c>
      <c r="D129" s="4" t="s">
        <v>761</v>
      </c>
      <c r="E129" s="4" t="s">
        <v>534</v>
      </c>
      <c r="F129" s="4" t="s">
        <v>797</v>
      </c>
      <c r="G129" s="4" t="s">
        <v>798</v>
      </c>
      <c r="H129" s="4" t="s">
        <v>764</v>
      </c>
      <c r="I129" s="4" t="s">
        <v>1197</v>
      </c>
      <c r="J129" s="4" t="s">
        <v>799</v>
      </c>
      <c r="K129" s="4" t="s">
        <v>766</v>
      </c>
      <c r="L129" s="4" t="s">
        <v>27</v>
      </c>
      <c r="M129" s="4" t="s">
        <v>28</v>
      </c>
      <c r="N129" s="4" t="s">
        <v>57</v>
      </c>
      <c r="O129" s="4" t="s">
        <v>800</v>
      </c>
      <c r="P129" s="4" t="s">
        <v>801</v>
      </c>
      <c r="Q129" s="4"/>
      <c r="R129" s="4"/>
      <c r="S129" s="4"/>
    </row>
    <row r="130" spans="1:19" ht="75">
      <c r="A130" s="4">
        <v>129</v>
      </c>
      <c r="B130" s="4" t="s">
        <v>802</v>
      </c>
      <c r="C130" s="4" t="s">
        <v>760</v>
      </c>
      <c r="D130" s="4" t="s">
        <v>761</v>
      </c>
      <c r="E130" s="4" t="s">
        <v>385</v>
      </c>
      <c r="F130" s="4" t="s">
        <v>803</v>
      </c>
      <c r="G130" s="4" t="s">
        <v>804</v>
      </c>
      <c r="H130" s="4" t="s">
        <v>764</v>
      </c>
      <c r="I130" s="4" t="s">
        <v>1198</v>
      </c>
      <c r="J130" s="4" t="s">
        <v>805</v>
      </c>
      <c r="K130" s="4" t="s">
        <v>766</v>
      </c>
      <c r="L130" s="4" t="s">
        <v>27</v>
      </c>
      <c r="M130" s="4" t="s">
        <v>69</v>
      </c>
      <c r="N130" s="4" t="s">
        <v>57</v>
      </c>
      <c r="O130" s="4" t="s">
        <v>531</v>
      </c>
      <c r="P130" s="4" t="s">
        <v>806</v>
      </c>
      <c r="Q130" s="4"/>
      <c r="R130" s="4"/>
      <c r="S130" s="4"/>
    </row>
    <row r="131" spans="1:19" ht="75">
      <c r="A131" s="4">
        <v>130</v>
      </c>
      <c r="B131" s="4" t="s">
        <v>807</v>
      </c>
      <c r="C131" s="4" t="s">
        <v>760</v>
      </c>
      <c r="D131" s="4" t="s">
        <v>761</v>
      </c>
      <c r="E131" s="4" t="s">
        <v>495</v>
      </c>
      <c r="F131" s="4" t="s">
        <v>808</v>
      </c>
      <c r="G131" s="4" t="s">
        <v>809</v>
      </c>
      <c r="H131" s="4" t="s">
        <v>764</v>
      </c>
      <c r="I131" s="4" t="s">
        <v>1199</v>
      </c>
      <c r="J131" s="4" t="s">
        <v>810</v>
      </c>
      <c r="K131" s="4" t="s">
        <v>766</v>
      </c>
      <c r="L131" s="4" t="s">
        <v>27</v>
      </c>
      <c r="M131" s="4" t="s">
        <v>142</v>
      </c>
      <c r="N131" s="4" t="s">
        <v>57</v>
      </c>
      <c r="O131" s="4" t="s">
        <v>808</v>
      </c>
      <c r="P131" s="4" t="s">
        <v>811</v>
      </c>
      <c r="Q131" s="4"/>
      <c r="R131" s="4"/>
      <c r="S131" s="4"/>
    </row>
    <row r="132" spans="1:19" ht="75">
      <c r="A132" s="4">
        <v>131</v>
      </c>
      <c r="B132" s="4" t="s">
        <v>812</v>
      </c>
      <c r="C132" s="4" t="s">
        <v>813</v>
      </c>
      <c r="D132" s="4" t="s">
        <v>1202</v>
      </c>
      <c r="E132" s="4" t="s">
        <v>814</v>
      </c>
      <c r="F132" s="4" t="s">
        <v>815</v>
      </c>
      <c r="G132" s="4" t="s">
        <v>816</v>
      </c>
      <c r="H132" s="4" t="s">
        <v>817</v>
      </c>
      <c r="I132" s="4" t="s">
        <v>1203</v>
      </c>
      <c r="J132" s="4" t="s">
        <v>818</v>
      </c>
      <c r="K132" s="4" t="s">
        <v>1204</v>
      </c>
      <c r="L132" s="4" t="s">
        <v>819</v>
      </c>
      <c r="M132" s="4" t="s">
        <v>28</v>
      </c>
      <c r="N132" s="4" t="s">
        <v>57</v>
      </c>
      <c r="O132" s="4" t="s">
        <v>820</v>
      </c>
      <c r="P132" s="4" t="s">
        <v>821</v>
      </c>
      <c r="Q132" s="4"/>
      <c r="R132" s="4"/>
      <c r="S132" s="4"/>
    </row>
    <row r="133" spans="1:19" ht="75">
      <c r="A133" s="4">
        <v>132</v>
      </c>
      <c r="B133" s="4" t="s">
        <v>822</v>
      </c>
      <c r="C133" s="4" t="s">
        <v>813</v>
      </c>
      <c r="D133" s="4" t="s">
        <v>1202</v>
      </c>
      <c r="E133" s="4" t="s">
        <v>814</v>
      </c>
      <c r="F133" s="4" t="s">
        <v>823</v>
      </c>
      <c r="G133" s="4" t="s">
        <v>824</v>
      </c>
      <c r="H133" s="4" t="s">
        <v>817</v>
      </c>
      <c r="I133" s="4" t="s">
        <v>1205</v>
      </c>
      <c r="J133" s="4" t="s">
        <v>825</v>
      </c>
      <c r="K133" s="4" t="s">
        <v>1204</v>
      </c>
      <c r="L133" s="4" t="s">
        <v>819</v>
      </c>
      <c r="M133" s="4" t="s">
        <v>28</v>
      </c>
      <c r="N133" s="4" t="s">
        <v>57</v>
      </c>
      <c r="O133" s="4" t="s">
        <v>820</v>
      </c>
      <c r="P133" s="4" t="s">
        <v>821</v>
      </c>
      <c r="Q133" s="4"/>
      <c r="R133" s="4"/>
      <c r="S133" s="4"/>
    </row>
    <row r="134" spans="1:19" ht="75">
      <c r="A134" s="4">
        <v>133</v>
      </c>
      <c r="B134" s="4" t="s">
        <v>826</v>
      </c>
      <c r="C134" s="4" t="s">
        <v>813</v>
      </c>
      <c r="D134" s="4" t="s">
        <v>1202</v>
      </c>
      <c r="E134" s="4" t="s">
        <v>814</v>
      </c>
      <c r="F134" s="4" t="s">
        <v>827</v>
      </c>
      <c r="G134" s="4" t="s">
        <v>824</v>
      </c>
      <c r="H134" s="4" t="s">
        <v>817</v>
      </c>
      <c r="I134" s="4" t="s">
        <v>1206</v>
      </c>
      <c r="J134" s="4" t="s">
        <v>828</v>
      </c>
      <c r="K134" s="4" t="s">
        <v>1204</v>
      </c>
      <c r="L134" s="4" t="s">
        <v>819</v>
      </c>
      <c r="M134" s="4" t="s">
        <v>28</v>
      </c>
      <c r="N134" s="4" t="s">
        <v>57</v>
      </c>
      <c r="O134" s="4" t="s">
        <v>820</v>
      </c>
      <c r="P134" s="4" t="s">
        <v>821</v>
      </c>
      <c r="Q134" s="4"/>
      <c r="R134" s="4"/>
      <c r="S134" s="4"/>
    </row>
    <row r="135" spans="1:19" ht="75">
      <c r="A135" s="4">
        <v>134</v>
      </c>
      <c r="B135" s="4" t="s">
        <v>829</v>
      </c>
      <c r="C135" s="4" t="s">
        <v>813</v>
      </c>
      <c r="D135" s="4" t="s">
        <v>1202</v>
      </c>
      <c r="E135" s="4" t="s">
        <v>830</v>
      </c>
      <c r="F135" s="4" t="s">
        <v>831</v>
      </c>
      <c r="G135" s="4" t="s">
        <v>832</v>
      </c>
      <c r="H135" s="4" t="s">
        <v>817</v>
      </c>
      <c r="I135" s="4" t="s">
        <v>1207</v>
      </c>
      <c r="J135" s="4" t="s">
        <v>833</v>
      </c>
      <c r="K135" s="4" t="s">
        <v>1204</v>
      </c>
      <c r="L135" s="4" t="s">
        <v>819</v>
      </c>
      <c r="M135" s="4" t="s">
        <v>28</v>
      </c>
      <c r="N135" s="4" t="s">
        <v>29</v>
      </c>
      <c r="O135" s="4"/>
      <c r="P135" s="4" t="s">
        <v>834</v>
      </c>
      <c r="Q135" s="4"/>
      <c r="R135" s="4"/>
      <c r="S135" s="4"/>
    </row>
    <row r="136" spans="1:19" ht="75">
      <c r="A136" s="4">
        <v>135</v>
      </c>
      <c r="B136" s="4" t="s">
        <v>835</v>
      </c>
      <c r="C136" s="4" t="s">
        <v>813</v>
      </c>
      <c r="D136" s="4" t="s">
        <v>1202</v>
      </c>
      <c r="E136" s="4" t="s">
        <v>836</v>
      </c>
      <c r="F136" s="4" t="s">
        <v>837</v>
      </c>
      <c r="G136" s="4" t="s">
        <v>838</v>
      </c>
      <c r="H136" s="4" t="s">
        <v>817</v>
      </c>
      <c r="I136" s="4" t="s">
        <v>1208</v>
      </c>
      <c r="J136" s="4" t="s">
        <v>839</v>
      </c>
      <c r="K136" s="4" t="s">
        <v>1204</v>
      </c>
      <c r="L136" s="4" t="s">
        <v>819</v>
      </c>
      <c r="M136" s="4" t="s">
        <v>28</v>
      </c>
      <c r="N136" s="4" t="s">
        <v>57</v>
      </c>
      <c r="O136" s="4" t="s">
        <v>840</v>
      </c>
      <c r="P136" s="4" t="s">
        <v>841</v>
      </c>
      <c r="Q136" s="4"/>
      <c r="R136" s="4"/>
      <c r="S136" s="4"/>
    </row>
    <row r="137" spans="1:19" ht="75">
      <c r="A137" s="4">
        <v>136</v>
      </c>
      <c r="B137" s="4" t="s">
        <v>842</v>
      </c>
      <c r="C137" s="4" t="s">
        <v>813</v>
      </c>
      <c r="D137" s="4" t="s">
        <v>1202</v>
      </c>
      <c r="E137" s="4" t="s">
        <v>690</v>
      </c>
      <c r="F137" s="4" t="s">
        <v>843</v>
      </c>
      <c r="G137" s="4" t="s">
        <v>844</v>
      </c>
      <c r="H137" s="4" t="s">
        <v>817</v>
      </c>
      <c r="I137" s="4" t="s">
        <v>1209</v>
      </c>
      <c r="J137" s="4" t="s">
        <v>845</v>
      </c>
      <c r="K137" s="4" t="s">
        <v>1204</v>
      </c>
      <c r="L137" s="4" t="s">
        <v>819</v>
      </c>
      <c r="M137" s="4" t="s">
        <v>69</v>
      </c>
      <c r="N137" s="4" t="s">
        <v>29</v>
      </c>
      <c r="O137" s="4"/>
      <c r="P137" s="4" t="s">
        <v>846</v>
      </c>
      <c r="Q137" s="4"/>
      <c r="R137" s="4"/>
      <c r="S137" s="4"/>
    </row>
    <row r="138" spans="1:19" ht="75">
      <c r="A138" s="4">
        <v>137</v>
      </c>
      <c r="B138" s="4" t="s">
        <v>847</v>
      </c>
      <c r="C138" s="4" t="s">
        <v>813</v>
      </c>
      <c r="D138" s="4" t="s">
        <v>1202</v>
      </c>
      <c r="E138" s="4" t="s">
        <v>353</v>
      </c>
      <c r="F138" s="4" t="s">
        <v>848</v>
      </c>
      <c r="G138" s="4" t="s">
        <v>849</v>
      </c>
      <c r="H138" s="4" t="s">
        <v>817</v>
      </c>
      <c r="I138" s="4" t="s">
        <v>1210</v>
      </c>
      <c r="J138" s="4" t="s">
        <v>850</v>
      </c>
      <c r="K138" s="4" t="s">
        <v>1204</v>
      </c>
      <c r="L138" s="4" t="s">
        <v>819</v>
      </c>
      <c r="M138" s="4" t="s">
        <v>69</v>
      </c>
      <c r="N138" s="4" t="s">
        <v>57</v>
      </c>
      <c r="O138" s="4" t="s">
        <v>851</v>
      </c>
      <c r="P138" s="4" t="s">
        <v>852</v>
      </c>
      <c r="Q138" s="4"/>
      <c r="R138" s="4"/>
      <c r="S138" s="4"/>
    </row>
    <row r="139" spans="1:19" ht="75">
      <c r="A139" s="4">
        <v>138</v>
      </c>
      <c r="B139" s="4" t="s">
        <v>853</v>
      </c>
      <c r="C139" s="4" t="s">
        <v>813</v>
      </c>
      <c r="D139" s="4" t="s">
        <v>1202</v>
      </c>
      <c r="E139" s="4" t="s">
        <v>353</v>
      </c>
      <c r="F139" s="4" t="s">
        <v>854</v>
      </c>
      <c r="G139" s="4" t="s">
        <v>855</v>
      </c>
      <c r="H139" s="4" t="s">
        <v>817</v>
      </c>
      <c r="I139" s="4" t="s">
        <v>1211</v>
      </c>
      <c r="J139" s="4" t="s">
        <v>856</v>
      </c>
      <c r="K139" s="4" t="s">
        <v>1204</v>
      </c>
      <c r="L139" s="4" t="s">
        <v>819</v>
      </c>
      <c r="M139" s="4" t="s">
        <v>142</v>
      </c>
      <c r="N139" s="4" t="s">
        <v>57</v>
      </c>
      <c r="O139" s="4" t="s">
        <v>851</v>
      </c>
      <c r="P139" s="4" t="s">
        <v>709</v>
      </c>
      <c r="Q139" s="4"/>
      <c r="R139" s="4"/>
      <c r="S139" s="4"/>
    </row>
    <row r="140" spans="1:19" ht="75">
      <c r="A140" s="4">
        <v>139</v>
      </c>
      <c r="B140" s="4" t="s">
        <v>857</v>
      </c>
      <c r="C140" s="4" t="s">
        <v>813</v>
      </c>
      <c r="D140" s="4" t="s">
        <v>1202</v>
      </c>
      <c r="E140" s="4" t="s">
        <v>520</v>
      </c>
      <c r="F140" s="4" t="s">
        <v>858</v>
      </c>
      <c r="G140" s="4" t="s">
        <v>859</v>
      </c>
      <c r="H140" s="4" t="s">
        <v>817</v>
      </c>
      <c r="I140" s="4" t="s">
        <v>1212</v>
      </c>
      <c r="J140" s="4" t="s">
        <v>860</v>
      </c>
      <c r="K140" s="4" t="s">
        <v>1204</v>
      </c>
      <c r="L140" s="4" t="s">
        <v>819</v>
      </c>
      <c r="M140" s="4" t="s">
        <v>69</v>
      </c>
      <c r="N140" s="4" t="s">
        <v>57</v>
      </c>
      <c r="O140" s="4" t="s">
        <v>861</v>
      </c>
      <c r="P140" s="4" t="s">
        <v>862</v>
      </c>
      <c r="Q140" s="4"/>
      <c r="R140" s="4"/>
      <c r="S140" s="4"/>
    </row>
    <row r="141" spans="1:19" ht="75">
      <c r="A141" s="4">
        <v>140</v>
      </c>
      <c r="B141" s="4" t="s">
        <v>863</v>
      </c>
      <c r="C141" s="4" t="s">
        <v>813</v>
      </c>
      <c r="D141" s="4" t="s">
        <v>1202</v>
      </c>
      <c r="E141" s="4" t="s">
        <v>520</v>
      </c>
      <c r="F141" s="4" t="s">
        <v>864</v>
      </c>
      <c r="G141" s="4" t="s">
        <v>865</v>
      </c>
      <c r="H141" s="4" t="s">
        <v>817</v>
      </c>
      <c r="I141" s="4" t="s">
        <v>1213</v>
      </c>
      <c r="J141" s="4" t="s">
        <v>866</v>
      </c>
      <c r="K141" s="4" t="s">
        <v>1204</v>
      </c>
      <c r="L141" s="4" t="s">
        <v>819</v>
      </c>
      <c r="M141" s="4" t="s">
        <v>69</v>
      </c>
      <c r="N141" s="4" t="s">
        <v>57</v>
      </c>
      <c r="O141" s="4" t="s">
        <v>851</v>
      </c>
      <c r="P141" s="4" t="s">
        <v>867</v>
      </c>
      <c r="Q141" s="4"/>
      <c r="R141" s="4"/>
      <c r="S141" s="4"/>
    </row>
    <row r="142" spans="1:19" ht="75">
      <c r="A142" s="4">
        <v>141</v>
      </c>
      <c r="B142" s="4" t="s">
        <v>868</v>
      </c>
      <c r="C142" s="4" t="s">
        <v>813</v>
      </c>
      <c r="D142" s="4" t="s">
        <v>1202</v>
      </c>
      <c r="E142" s="4" t="s">
        <v>434</v>
      </c>
      <c r="F142" s="4" t="s">
        <v>869</v>
      </c>
      <c r="G142" s="4" t="s">
        <v>870</v>
      </c>
      <c r="H142" s="4" t="s">
        <v>817</v>
      </c>
      <c r="I142" s="4" t="s">
        <v>1214</v>
      </c>
      <c r="J142" s="4" t="s">
        <v>871</v>
      </c>
      <c r="K142" s="4" t="s">
        <v>1204</v>
      </c>
      <c r="L142" s="4" t="s">
        <v>819</v>
      </c>
      <c r="M142" s="4" t="s">
        <v>69</v>
      </c>
      <c r="N142" s="4" t="s">
        <v>29</v>
      </c>
      <c r="O142" s="4"/>
      <c r="P142" s="4" t="s">
        <v>438</v>
      </c>
      <c r="Q142" s="4"/>
      <c r="R142" s="4"/>
      <c r="S142" s="4"/>
    </row>
    <row r="143" spans="1:19" ht="75">
      <c r="A143" s="4">
        <v>142</v>
      </c>
      <c r="B143" s="4" t="s">
        <v>872</v>
      </c>
      <c r="C143" s="4" t="s">
        <v>813</v>
      </c>
      <c r="D143" s="4" t="s">
        <v>1202</v>
      </c>
      <c r="E143" s="4" t="s">
        <v>434</v>
      </c>
      <c r="F143" s="4" t="s">
        <v>873</v>
      </c>
      <c r="G143" s="4" t="s">
        <v>874</v>
      </c>
      <c r="H143" s="4" t="s">
        <v>817</v>
      </c>
      <c r="I143" s="4" t="s">
        <v>1215</v>
      </c>
      <c r="J143" s="4" t="s">
        <v>875</v>
      </c>
      <c r="K143" s="4" t="s">
        <v>1204</v>
      </c>
      <c r="L143" s="4" t="s">
        <v>819</v>
      </c>
      <c r="M143" s="4" t="s">
        <v>142</v>
      </c>
      <c r="N143" s="4" t="s">
        <v>57</v>
      </c>
      <c r="O143" s="4" t="s">
        <v>876</v>
      </c>
      <c r="P143" s="4" t="s">
        <v>877</v>
      </c>
      <c r="Q143" s="4"/>
      <c r="R143" s="4"/>
      <c r="S143" s="4"/>
    </row>
    <row r="144" spans="1:19" ht="75">
      <c r="A144" s="4">
        <v>143</v>
      </c>
      <c r="B144" s="4" t="s">
        <v>878</v>
      </c>
      <c r="C144" s="4" t="s">
        <v>813</v>
      </c>
      <c r="D144" s="4" t="s">
        <v>1202</v>
      </c>
      <c r="E144" s="4" t="s">
        <v>446</v>
      </c>
      <c r="F144" s="4" t="s">
        <v>879</v>
      </c>
      <c r="G144" s="4" t="s">
        <v>880</v>
      </c>
      <c r="H144" s="4" t="s">
        <v>817</v>
      </c>
      <c r="I144" s="4" t="s">
        <v>1216</v>
      </c>
      <c r="J144" s="4" t="s">
        <v>881</v>
      </c>
      <c r="K144" s="4" t="s">
        <v>1204</v>
      </c>
      <c r="L144" s="4" t="s">
        <v>819</v>
      </c>
      <c r="M144" s="4" t="s">
        <v>28</v>
      </c>
      <c r="N144" s="4" t="s">
        <v>57</v>
      </c>
      <c r="O144" s="4" t="s">
        <v>267</v>
      </c>
      <c r="P144" s="4" t="s">
        <v>882</v>
      </c>
      <c r="Q144" s="4"/>
      <c r="R144" s="4"/>
      <c r="S144" s="4"/>
    </row>
    <row r="145" spans="1:19" ht="75">
      <c r="A145" s="4">
        <v>144</v>
      </c>
      <c r="B145" s="4" t="s">
        <v>883</v>
      </c>
      <c r="C145" s="4" t="s">
        <v>813</v>
      </c>
      <c r="D145" s="4" t="s">
        <v>1202</v>
      </c>
      <c r="E145" s="4" t="s">
        <v>446</v>
      </c>
      <c r="F145" s="4" t="s">
        <v>884</v>
      </c>
      <c r="G145" s="4" t="s">
        <v>885</v>
      </c>
      <c r="H145" s="4" t="s">
        <v>817</v>
      </c>
      <c r="I145" s="4" t="s">
        <v>1217</v>
      </c>
      <c r="J145" s="4" t="s">
        <v>886</v>
      </c>
      <c r="K145" s="4" t="s">
        <v>1204</v>
      </c>
      <c r="L145" s="4" t="s">
        <v>819</v>
      </c>
      <c r="M145" s="4" t="s">
        <v>69</v>
      </c>
      <c r="N145" s="4" t="s">
        <v>57</v>
      </c>
      <c r="O145" s="4" t="s">
        <v>267</v>
      </c>
      <c r="P145" s="4" t="s">
        <v>887</v>
      </c>
      <c r="Q145" s="4"/>
      <c r="R145" s="4"/>
      <c r="S145" s="4"/>
    </row>
    <row r="146" spans="1:19" ht="75">
      <c r="A146" s="4">
        <v>145</v>
      </c>
      <c r="B146" s="4" t="s">
        <v>888</v>
      </c>
      <c r="C146" s="4" t="s">
        <v>813</v>
      </c>
      <c r="D146" s="4" t="s">
        <v>1202</v>
      </c>
      <c r="E146" s="4" t="s">
        <v>889</v>
      </c>
      <c r="F146" s="4" t="s">
        <v>890</v>
      </c>
      <c r="G146" s="4" t="s">
        <v>891</v>
      </c>
      <c r="H146" s="4" t="s">
        <v>817</v>
      </c>
      <c r="I146" s="4" t="s">
        <v>1218</v>
      </c>
      <c r="J146" s="4" t="s">
        <v>892</v>
      </c>
      <c r="K146" s="4" t="s">
        <v>1204</v>
      </c>
      <c r="L146" s="4" t="s">
        <v>819</v>
      </c>
      <c r="M146" s="4" t="s">
        <v>28</v>
      </c>
      <c r="N146" s="4" t="s">
        <v>57</v>
      </c>
      <c r="O146" s="4" t="s">
        <v>620</v>
      </c>
      <c r="P146" s="4" t="s">
        <v>893</v>
      </c>
      <c r="Q146" s="4"/>
      <c r="R146" s="4"/>
      <c r="S146" s="4"/>
    </row>
    <row r="147" spans="1:19" ht="75">
      <c r="A147" s="4">
        <v>146</v>
      </c>
      <c r="B147" s="4" t="s">
        <v>894</v>
      </c>
      <c r="C147" s="4" t="s">
        <v>813</v>
      </c>
      <c r="D147" s="4" t="s">
        <v>1202</v>
      </c>
      <c r="E147" s="4" t="s">
        <v>889</v>
      </c>
      <c r="F147" s="4" t="s">
        <v>895</v>
      </c>
      <c r="G147" s="4" t="s">
        <v>896</v>
      </c>
      <c r="H147" s="4" t="s">
        <v>817</v>
      </c>
      <c r="I147" s="4" t="s">
        <v>1219</v>
      </c>
      <c r="J147" s="4" t="s">
        <v>897</v>
      </c>
      <c r="K147" s="4" t="s">
        <v>1204</v>
      </c>
      <c r="L147" s="4" t="s">
        <v>819</v>
      </c>
      <c r="M147" s="4" t="s">
        <v>28</v>
      </c>
      <c r="N147" s="4" t="s">
        <v>57</v>
      </c>
      <c r="O147" s="4" t="s">
        <v>620</v>
      </c>
      <c r="P147" s="4" t="s">
        <v>898</v>
      </c>
      <c r="Q147" s="4"/>
      <c r="R147" s="4"/>
      <c r="S147" s="4"/>
    </row>
    <row r="148" spans="1:19" ht="75">
      <c r="A148" s="4">
        <v>147</v>
      </c>
      <c r="B148" s="4" t="s">
        <v>899</v>
      </c>
      <c r="C148" s="4" t="s">
        <v>813</v>
      </c>
      <c r="D148" s="4" t="s">
        <v>1202</v>
      </c>
      <c r="E148" s="4" t="s">
        <v>385</v>
      </c>
      <c r="F148" s="4" t="s">
        <v>900</v>
      </c>
      <c r="G148" s="4" t="s">
        <v>901</v>
      </c>
      <c r="H148" s="4" t="s">
        <v>817</v>
      </c>
      <c r="I148" s="4" t="s">
        <v>1220</v>
      </c>
      <c r="J148" s="4" t="s">
        <v>902</v>
      </c>
      <c r="K148" s="4" t="s">
        <v>1204</v>
      </c>
      <c r="L148" s="4" t="s">
        <v>819</v>
      </c>
      <c r="M148" s="4" t="s">
        <v>28</v>
      </c>
      <c r="N148" s="4" t="s">
        <v>57</v>
      </c>
      <c r="O148" s="4" t="s">
        <v>620</v>
      </c>
      <c r="P148" s="4" t="s">
        <v>903</v>
      </c>
      <c r="Q148" s="4"/>
      <c r="R148" s="4"/>
      <c r="S148" s="4"/>
    </row>
    <row r="149" spans="1:19" ht="75">
      <c r="A149" s="4">
        <v>148</v>
      </c>
      <c r="B149" s="4" t="s">
        <v>904</v>
      </c>
      <c r="C149" s="4" t="s">
        <v>813</v>
      </c>
      <c r="D149" s="4" t="s">
        <v>1202</v>
      </c>
      <c r="E149" s="4" t="s">
        <v>905</v>
      </c>
      <c r="F149" s="4" t="s">
        <v>906</v>
      </c>
      <c r="G149" s="4" t="s">
        <v>907</v>
      </c>
      <c r="H149" s="4" t="s">
        <v>817</v>
      </c>
      <c r="I149" s="4" t="s">
        <v>1221</v>
      </c>
      <c r="J149" s="4" t="s">
        <v>908</v>
      </c>
      <c r="K149" s="4" t="s">
        <v>1204</v>
      </c>
      <c r="L149" s="4" t="s">
        <v>819</v>
      </c>
      <c r="M149" s="4" t="s">
        <v>69</v>
      </c>
      <c r="N149" s="4" t="s">
        <v>29</v>
      </c>
      <c r="O149" s="4"/>
      <c r="P149" s="4" t="s">
        <v>909</v>
      </c>
      <c r="Q149" s="4"/>
      <c r="R149" s="4"/>
      <c r="S149" s="4"/>
    </row>
    <row r="150" spans="1:19" ht="75">
      <c r="A150" s="4">
        <v>149</v>
      </c>
      <c r="B150" s="4" t="s">
        <v>910</v>
      </c>
      <c r="C150" s="4" t="s">
        <v>813</v>
      </c>
      <c r="D150" s="4" t="s">
        <v>1202</v>
      </c>
      <c r="E150" s="4" t="s">
        <v>911</v>
      </c>
      <c r="F150" s="4" t="s">
        <v>912</v>
      </c>
      <c r="G150" s="4" t="s">
        <v>913</v>
      </c>
      <c r="H150" s="4" t="s">
        <v>817</v>
      </c>
      <c r="I150" s="4" t="s">
        <v>1222</v>
      </c>
      <c r="J150" s="4" t="s">
        <v>914</v>
      </c>
      <c r="K150" s="4" t="s">
        <v>1204</v>
      </c>
      <c r="L150" s="4" t="s">
        <v>819</v>
      </c>
      <c r="M150" s="4" t="s">
        <v>28</v>
      </c>
      <c r="N150" s="4" t="s">
        <v>29</v>
      </c>
      <c r="O150" s="4" t="s">
        <v>915</v>
      </c>
      <c r="P150" s="4" t="s">
        <v>916</v>
      </c>
      <c r="Q150" s="4"/>
      <c r="R150" s="4"/>
      <c r="S150" s="4"/>
    </row>
    <row r="151" spans="1:19" ht="75">
      <c r="A151" s="4">
        <v>150</v>
      </c>
      <c r="B151" s="4" t="s">
        <v>917</v>
      </c>
      <c r="C151" s="4" t="s">
        <v>813</v>
      </c>
      <c r="D151" s="4" t="s">
        <v>1202</v>
      </c>
      <c r="E151" s="4" t="s">
        <v>918</v>
      </c>
      <c r="F151" s="4" t="s">
        <v>919</v>
      </c>
      <c r="G151" s="4" t="s">
        <v>920</v>
      </c>
      <c r="H151" s="4" t="s">
        <v>817</v>
      </c>
      <c r="I151" s="4" t="s">
        <v>1223</v>
      </c>
      <c r="J151" s="4" t="s">
        <v>921</v>
      </c>
      <c r="K151" s="4" t="s">
        <v>1204</v>
      </c>
      <c r="L151" s="4" t="s">
        <v>819</v>
      </c>
      <c r="M151" s="4" t="s">
        <v>28</v>
      </c>
      <c r="N151" s="4" t="s">
        <v>57</v>
      </c>
      <c r="O151" s="4" t="s">
        <v>922</v>
      </c>
      <c r="P151" s="4" t="s">
        <v>923</v>
      </c>
      <c r="Q151" s="4"/>
      <c r="R151" s="4"/>
      <c r="S151" s="4"/>
    </row>
    <row r="152" spans="1:19" ht="75">
      <c r="A152" s="4">
        <v>151</v>
      </c>
      <c r="B152" s="4" t="s">
        <v>924</v>
      </c>
      <c r="C152" s="4" t="s">
        <v>813</v>
      </c>
      <c r="D152" s="4" t="s">
        <v>1202</v>
      </c>
      <c r="E152" s="4" t="s">
        <v>925</v>
      </c>
      <c r="F152" s="4" t="s">
        <v>926</v>
      </c>
      <c r="G152" s="4" t="s">
        <v>927</v>
      </c>
      <c r="H152" s="4" t="s">
        <v>817</v>
      </c>
      <c r="I152" s="4" t="s">
        <v>1224</v>
      </c>
      <c r="J152" s="4" t="s">
        <v>928</v>
      </c>
      <c r="K152" s="4" t="s">
        <v>1204</v>
      </c>
      <c r="L152" s="4" t="s">
        <v>819</v>
      </c>
      <c r="M152" s="4" t="s">
        <v>28</v>
      </c>
      <c r="N152" s="4" t="s">
        <v>29</v>
      </c>
      <c r="O152" s="4" t="s">
        <v>915</v>
      </c>
      <c r="P152" s="4" t="s">
        <v>929</v>
      </c>
      <c r="Q152" s="4"/>
      <c r="R152" s="4"/>
      <c r="S152" s="4"/>
    </row>
    <row r="153" spans="1:19" ht="75">
      <c r="A153" s="4">
        <v>152</v>
      </c>
      <c r="B153" s="4" t="s">
        <v>930</v>
      </c>
      <c r="C153" s="4" t="s">
        <v>813</v>
      </c>
      <c r="D153" s="4" t="s">
        <v>1202</v>
      </c>
      <c r="E153" s="4" t="s">
        <v>246</v>
      </c>
      <c r="F153" s="4" t="s">
        <v>1225</v>
      </c>
      <c r="G153" s="4" t="s">
        <v>931</v>
      </c>
      <c r="H153" s="4" t="s">
        <v>817</v>
      </c>
      <c r="I153" s="4" t="s">
        <v>1226</v>
      </c>
      <c r="J153" s="4" t="s">
        <v>932</v>
      </c>
      <c r="K153" s="4" t="s">
        <v>1204</v>
      </c>
      <c r="L153" s="4" t="s">
        <v>819</v>
      </c>
      <c r="M153" s="4" t="s">
        <v>69</v>
      </c>
      <c r="N153" s="4" t="s">
        <v>57</v>
      </c>
      <c r="O153" s="4" t="s">
        <v>1227</v>
      </c>
      <c r="P153" s="4" t="s">
        <v>933</v>
      </c>
      <c r="Q153" s="4"/>
      <c r="R153" s="4"/>
      <c r="S153" s="4"/>
    </row>
  </sheetData>
  <phoneticPr fontId="3"/>
  <conditionalFormatting sqref="M2:M153">
    <cfRule type="expression" dxfId="24" priority="1">
      <formula>M2="P1"</formula>
    </cfRule>
    <cfRule type="expression" dxfId="23" priority="2">
      <formula>M2="P2"</formula>
    </cfRule>
  </conditionalFormatting>
  <conditionalFormatting sqref="N2:N153">
    <cfRule type="expression" dxfId="22" priority="3">
      <formula>N2="要仕様確認"</formula>
    </cfRule>
  </conditionalFormatting>
  <conditionalFormatting sqref="S2:S153">
    <cfRule type="expression" dxfId="21" priority="4">
      <formula>S2="NG"</formula>
    </cfRule>
  </conditionalFormatting>
  <dataValidations count="4">
    <dataValidation type="list" sqref="M2:M153" xr:uid="{00000000-0002-0000-0000-000000000000}">
      <formula1>"P1,P2,P3"</formula1>
    </dataValidation>
    <dataValidation type="list" sqref="N2:N153" xr:uid="{00000000-0002-0000-0000-000001000000}">
      <formula1>"実施可,条件付き,要仕様確認"</formula1>
    </dataValidation>
    <dataValidation type="list" sqref="R2:R153" xr:uid="{00000000-0002-0000-0000-000002000000}">
      <formula1>"未実施,実施済,保留,対象外"</formula1>
    </dataValidation>
    <dataValidation type="list" sqref="S2:S153" xr:uid="{00000000-0002-0000-0000-000003000000}">
      <formula1>"OK,NG,要確認,未判定"</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sheetViews>
  <sheetFormatPr defaultRowHeight="14.25"/>
  <cols>
    <col min="1" max="1" width="20" customWidth="1"/>
    <col min="2" max="4" width="24" customWidth="1"/>
  </cols>
  <sheetData>
    <row r="1" spans="1:4" ht="30">
      <c r="A1" s="1" t="s">
        <v>2</v>
      </c>
      <c r="B1" s="1" t="s">
        <v>934</v>
      </c>
      <c r="C1" s="1" t="s">
        <v>935</v>
      </c>
      <c r="D1" s="1" t="s">
        <v>936</v>
      </c>
    </row>
    <row r="2" spans="1:4">
      <c r="A2" s="2" t="s">
        <v>20</v>
      </c>
      <c r="B2" s="2">
        <f>COUNTIF(試験項目一覧!$C$2:$C$153,A2)</f>
        <v>21</v>
      </c>
      <c r="C2" s="2">
        <f>COUNTIFS(試験項目一覧!$C$2:$C$153,A2,試験項目一覧!$M$2:$M$153,"P1")</f>
        <v>16</v>
      </c>
      <c r="D2" s="2">
        <f>COUNTIFS(試験項目一覧!$C$2:$C$153,A2,試験項目一覧!$N$2:$N$153,"&lt;&gt;実施可")</f>
        <v>10</v>
      </c>
    </row>
    <row r="3" spans="1:4">
      <c r="A3" s="2" t="s">
        <v>146</v>
      </c>
      <c r="B3" s="2">
        <f>COUNTIF(試験項目一覧!$C$2:$C$153,A3)</f>
        <v>22</v>
      </c>
      <c r="C3" s="2">
        <f>COUNTIFS(試験項目一覧!$C$2:$C$153,A3,試験項目一覧!$M$2:$M$153,"P1")</f>
        <v>18</v>
      </c>
      <c r="D3" s="2">
        <f>COUNTIFS(試験項目一覧!$C$2:$C$153,A3,試験項目一覧!$N$2:$N$153,"&lt;&gt;実施可")</f>
        <v>20</v>
      </c>
    </row>
    <row r="4" spans="1:4">
      <c r="A4" s="2" t="s">
        <v>290</v>
      </c>
      <c r="B4" s="2">
        <f>COUNTIF(試験項目一覧!$C$2:$C$153,A4)</f>
        <v>15</v>
      </c>
      <c r="C4" s="2">
        <f>COUNTIFS(試験項目一覧!$C$2:$C$153,A4,試験項目一覧!$M$2:$M$153,"P1")</f>
        <v>11</v>
      </c>
      <c r="D4" s="2">
        <f>COUNTIFS(試験項目一覧!$C$2:$C$153,A4,試験項目一覧!$N$2:$N$153,"&lt;&gt;実施可")</f>
        <v>12</v>
      </c>
    </row>
    <row r="5" spans="1:4">
      <c r="A5" s="2" t="s">
        <v>392</v>
      </c>
      <c r="B5" s="2">
        <f>COUNTIF(試験項目一覧!$C$2:$C$153,A5)</f>
        <v>10</v>
      </c>
      <c r="C5" s="2">
        <f>COUNTIFS(試験項目一覧!$C$2:$C$153,A5,試験項目一覧!$M$2:$M$153,"P1")</f>
        <v>4</v>
      </c>
      <c r="D5" s="2">
        <f>COUNTIFS(試験項目一覧!$C$2:$C$153,A5,試験項目一覧!$N$2:$N$153,"&lt;&gt;実施可")</f>
        <v>8</v>
      </c>
    </row>
    <row r="6" spans="1:4">
      <c r="A6" s="2" t="s">
        <v>459</v>
      </c>
      <c r="B6" s="2">
        <f>COUNTIF(試験項目一覧!$C$2:$C$153,A6)</f>
        <v>12</v>
      </c>
      <c r="C6" s="2">
        <f>COUNTIFS(試験項目一覧!$C$2:$C$153,A6,試験項目一覧!$M$2:$M$153,"P1")</f>
        <v>4</v>
      </c>
      <c r="D6" s="2">
        <f>COUNTIFS(試験項目一覧!$C$2:$C$153,A6,試験項目一覧!$N$2:$N$153,"&lt;&gt;実施可")</f>
        <v>12</v>
      </c>
    </row>
    <row r="7" spans="1:4">
      <c r="A7" s="2" t="s">
        <v>541</v>
      </c>
      <c r="B7" s="2">
        <f>COUNTIF(試験項目一覧!$C$2:$C$153,A7)</f>
        <v>18</v>
      </c>
      <c r="C7" s="2">
        <f>COUNTIFS(試験項目一覧!$C$2:$C$153,A7,試験項目一覧!$M$2:$M$153,"P1")</f>
        <v>15</v>
      </c>
      <c r="D7" s="2">
        <f>COUNTIFS(試験項目一覧!$C$2:$C$153,A7,試験項目一覧!$N$2:$N$153,"&lt;&gt;実施可")</f>
        <v>14</v>
      </c>
    </row>
    <row r="8" spans="1:4">
      <c r="A8" s="2" t="s">
        <v>645</v>
      </c>
      <c r="B8" s="2">
        <f>COUNTIF(試験項目一覧!$C$2:$C$153,A8)</f>
        <v>14</v>
      </c>
      <c r="C8" s="2">
        <f>COUNTIFS(試験項目一覧!$C$2:$C$153,A8,試験項目一覧!$M$2:$M$153,"P1")</f>
        <v>11</v>
      </c>
      <c r="D8" s="2">
        <f>COUNTIFS(試験項目一覧!$C$2:$C$153,A8,試験項目一覧!$N$2:$N$153,"&lt;&gt;実施可")</f>
        <v>11</v>
      </c>
    </row>
    <row r="9" spans="1:4">
      <c r="A9" s="2" t="s">
        <v>721</v>
      </c>
      <c r="B9" s="2">
        <f>COUNTIF(試験項目一覧!$C$2:$C$153,A9)</f>
        <v>8</v>
      </c>
      <c r="C9" s="2">
        <f>COUNTIFS(試験項目一覧!$C$2:$C$153,A9,試験項目一覧!$M$2:$M$153,"P1")</f>
        <v>4</v>
      </c>
      <c r="D9" s="2">
        <f>COUNTIFS(試験項目一覧!$C$2:$C$153,A9,試験項目一覧!$N$2:$N$153,"&lt;&gt;実施可")</f>
        <v>6</v>
      </c>
    </row>
    <row r="10" spans="1:4">
      <c r="A10" s="2" t="s">
        <v>760</v>
      </c>
      <c r="B10" s="2">
        <f>COUNTIF(試験項目一覧!$C$2:$C$153,A10)</f>
        <v>10</v>
      </c>
      <c r="C10" s="2">
        <f>COUNTIFS(試験項目一覧!$C$2:$C$153,A10,試験項目一覧!$M$2:$M$153,"P1")</f>
        <v>5</v>
      </c>
      <c r="D10" s="2">
        <f>COUNTIFS(試験項目一覧!$C$2:$C$153,A10,試験項目一覧!$N$2:$N$153,"&lt;&gt;実施可")</f>
        <v>10</v>
      </c>
    </row>
    <row r="11" spans="1:4">
      <c r="A11" s="2" t="s">
        <v>813</v>
      </c>
      <c r="B11" s="2">
        <f>COUNTIF(試験項目一覧!$C$2:$C$153,A11)</f>
        <v>22</v>
      </c>
      <c r="C11" s="2">
        <f>COUNTIFS(試験項目一覧!$C$2:$C$153,A11,試験項目一覧!$M$2:$M$153,"P1")</f>
        <v>12</v>
      </c>
      <c r="D11" s="2">
        <f>COUNTIFS(試験項目一覧!$C$2:$C$153,A11,試験項目一覧!$N$2:$N$153,"&lt;&gt;実施可")</f>
        <v>16</v>
      </c>
    </row>
    <row r="12" spans="1:4">
      <c r="A12" s="2"/>
      <c r="B12" s="2"/>
      <c r="C12" s="2"/>
      <c r="D12" s="2"/>
    </row>
    <row r="13" spans="1:4">
      <c r="A13" s="2" t="s">
        <v>937</v>
      </c>
      <c r="B13" s="2">
        <v>152</v>
      </c>
      <c r="C13" s="2"/>
      <c r="D13" s="2"/>
    </row>
    <row r="14" spans="1:4">
      <c r="A14" s="2" t="s">
        <v>938</v>
      </c>
      <c r="B14" s="2">
        <v>15</v>
      </c>
      <c r="C14" s="2"/>
      <c r="D14" s="2"/>
    </row>
    <row r="15" spans="1:4">
      <c r="A15" s="2" t="s">
        <v>939</v>
      </c>
      <c r="B15" s="2" t="s">
        <v>940</v>
      </c>
      <c r="C15" s="2"/>
      <c r="D15" s="2"/>
    </row>
    <row r="16" spans="1:4">
      <c r="A16" s="2" t="s">
        <v>941</v>
      </c>
      <c r="B16" s="2" t="s">
        <v>942</v>
      </c>
      <c r="C16" s="2"/>
      <c r="D16" s="2"/>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sheetViews>
  <sheetFormatPr defaultRowHeight="14.25"/>
  <cols>
    <col min="1" max="1" width="9" customWidth="1"/>
    <col min="2" max="2" width="14" customWidth="1"/>
    <col min="3" max="3" width="36" customWidth="1"/>
    <col min="4" max="4" width="58" customWidth="1"/>
    <col min="6" max="6" width="16" customWidth="1"/>
    <col min="7" max="7" width="56" customWidth="1"/>
  </cols>
  <sheetData>
    <row r="1" spans="1:7" ht="15">
      <c r="A1" s="1" t="s">
        <v>943</v>
      </c>
      <c r="B1" s="1" t="s">
        <v>944</v>
      </c>
      <c r="C1" s="1" t="s">
        <v>945</v>
      </c>
      <c r="D1" s="1" t="s">
        <v>946</v>
      </c>
      <c r="F1" s="1" t="s">
        <v>947</v>
      </c>
      <c r="G1" s="1" t="s">
        <v>948</v>
      </c>
    </row>
    <row r="2" spans="1:7">
      <c r="A2" s="2" t="s">
        <v>949</v>
      </c>
      <c r="B2" s="2" t="s">
        <v>950</v>
      </c>
      <c r="C2" s="2" t="s">
        <v>951</v>
      </c>
      <c r="D2" s="2" t="s">
        <v>952</v>
      </c>
      <c r="F2" s="2" t="s">
        <v>29</v>
      </c>
      <c r="G2" s="2" t="s">
        <v>953</v>
      </c>
    </row>
    <row r="3" spans="1:7" ht="28.5">
      <c r="A3" s="2" t="s">
        <v>20</v>
      </c>
      <c r="B3" s="2" t="s">
        <v>2</v>
      </c>
      <c r="C3" s="2" t="s">
        <v>954</v>
      </c>
      <c r="D3" s="2" t="s">
        <v>955</v>
      </c>
      <c r="F3" s="2" t="s">
        <v>57</v>
      </c>
      <c r="G3" s="2" t="s">
        <v>956</v>
      </c>
    </row>
    <row r="4" spans="1:7">
      <c r="A4" s="2" t="s">
        <v>146</v>
      </c>
      <c r="B4" s="2" t="s">
        <v>2</v>
      </c>
      <c r="C4" s="2" t="s">
        <v>957</v>
      </c>
      <c r="D4" s="2" t="s">
        <v>958</v>
      </c>
      <c r="F4" s="2" t="s">
        <v>524</v>
      </c>
      <c r="G4" s="2" t="s">
        <v>959</v>
      </c>
    </row>
    <row r="5" spans="1:7">
      <c r="A5" s="2" t="s">
        <v>290</v>
      </c>
      <c r="B5" s="2" t="s">
        <v>2</v>
      </c>
      <c r="C5" s="2" t="s">
        <v>960</v>
      </c>
      <c r="D5" s="2" t="s">
        <v>961</v>
      </c>
      <c r="F5" s="2"/>
      <c r="G5" s="2"/>
    </row>
    <row r="6" spans="1:7" ht="15">
      <c r="A6" s="2" t="s">
        <v>392</v>
      </c>
      <c r="B6" s="2" t="s">
        <v>2</v>
      </c>
      <c r="C6" s="2" t="s">
        <v>962</v>
      </c>
      <c r="D6" s="2" t="s">
        <v>963</v>
      </c>
      <c r="F6" s="1" t="s">
        <v>12</v>
      </c>
      <c r="G6" s="1" t="s">
        <v>964</v>
      </c>
    </row>
    <row r="7" spans="1:7" ht="28.5">
      <c r="A7" s="2" t="s">
        <v>459</v>
      </c>
      <c r="B7" s="2" t="s">
        <v>2</v>
      </c>
      <c r="C7" s="2" t="s">
        <v>965</v>
      </c>
      <c r="D7" s="2" t="s">
        <v>966</v>
      </c>
      <c r="F7" s="2" t="s">
        <v>28</v>
      </c>
      <c r="G7" s="2" t="s">
        <v>967</v>
      </c>
    </row>
    <row r="8" spans="1:7">
      <c r="A8" s="2" t="s">
        <v>541</v>
      </c>
      <c r="B8" s="2" t="s">
        <v>2</v>
      </c>
      <c r="C8" s="2" t="s">
        <v>968</v>
      </c>
      <c r="D8" s="2" t="s">
        <v>969</v>
      </c>
      <c r="F8" s="2" t="s">
        <v>69</v>
      </c>
      <c r="G8" s="2" t="s">
        <v>970</v>
      </c>
    </row>
    <row r="9" spans="1:7">
      <c r="A9" s="2" t="s">
        <v>645</v>
      </c>
      <c r="B9" s="2" t="s">
        <v>2</v>
      </c>
      <c r="C9" s="2" t="s">
        <v>971</v>
      </c>
      <c r="D9" s="2" t="s">
        <v>972</v>
      </c>
      <c r="F9" s="2" t="s">
        <v>142</v>
      </c>
      <c r="G9" s="2" t="s">
        <v>973</v>
      </c>
    </row>
    <row r="10" spans="1:7">
      <c r="A10" s="2" t="s">
        <v>721</v>
      </c>
      <c r="B10" s="2" t="s">
        <v>2</v>
      </c>
      <c r="C10" s="2" t="s">
        <v>974</v>
      </c>
      <c r="D10" s="2" t="s">
        <v>963</v>
      </c>
    </row>
    <row r="11" spans="1:7">
      <c r="A11" s="2" t="s">
        <v>760</v>
      </c>
      <c r="B11" s="2" t="s">
        <v>2</v>
      </c>
      <c r="C11" s="2" t="s">
        <v>975</v>
      </c>
      <c r="D11" s="2" t="s">
        <v>976</v>
      </c>
    </row>
    <row r="12" spans="1:7">
      <c r="A12" s="2" t="s">
        <v>813</v>
      </c>
      <c r="B12" s="2" t="s">
        <v>2</v>
      </c>
      <c r="C12" s="2" t="s">
        <v>1228</v>
      </c>
      <c r="D12" s="2" t="s">
        <v>977</v>
      </c>
    </row>
    <row r="13" spans="1:7">
      <c r="A13" s="2" t="s">
        <v>978</v>
      </c>
      <c r="B13" s="2" t="s">
        <v>979</v>
      </c>
      <c r="C13" s="2" t="s">
        <v>1229</v>
      </c>
      <c r="D13" s="2" t="s">
        <v>980</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workbookViewId="0"/>
  </sheetViews>
  <sheetFormatPr defaultRowHeight="14.25"/>
  <cols>
    <col min="1" max="1" width="10" customWidth="1"/>
    <col min="2" max="2" width="16" customWidth="1"/>
    <col min="3" max="3" width="34" customWidth="1"/>
    <col min="4" max="4" width="38" customWidth="1"/>
    <col min="5" max="6" width="52" customWidth="1"/>
    <col min="7" max="7" width="12" customWidth="1"/>
    <col min="8" max="8" width="18" customWidth="1"/>
  </cols>
  <sheetData>
    <row r="1" spans="1:8" ht="15">
      <c r="A1" s="1" t="s">
        <v>981</v>
      </c>
      <c r="B1" s="1" t="s">
        <v>2</v>
      </c>
      <c r="C1" s="1" t="s">
        <v>982</v>
      </c>
      <c r="D1" s="1" t="s">
        <v>983</v>
      </c>
      <c r="E1" s="1" t="s">
        <v>984</v>
      </c>
      <c r="F1" s="1" t="s">
        <v>9</v>
      </c>
      <c r="G1" s="1" t="s">
        <v>12</v>
      </c>
      <c r="H1" s="1" t="s">
        <v>13</v>
      </c>
    </row>
    <row r="2" spans="1:8">
      <c r="A2" s="2" t="s">
        <v>985</v>
      </c>
      <c r="B2" s="2" t="s">
        <v>986</v>
      </c>
      <c r="C2" s="2" t="s">
        <v>987</v>
      </c>
      <c r="D2" s="2" t="s">
        <v>988</v>
      </c>
      <c r="E2" s="2" t="s">
        <v>989</v>
      </c>
      <c r="F2" s="2" t="s">
        <v>990</v>
      </c>
      <c r="G2" s="2" t="s">
        <v>28</v>
      </c>
      <c r="H2" s="2" t="s">
        <v>57</v>
      </c>
    </row>
    <row r="3" spans="1:8">
      <c r="A3" s="2" t="s">
        <v>991</v>
      </c>
      <c r="B3" s="2" t="s">
        <v>992</v>
      </c>
      <c r="C3" s="2" t="s">
        <v>993</v>
      </c>
      <c r="D3" s="2" t="s">
        <v>994</v>
      </c>
      <c r="E3" s="2" t="s">
        <v>995</v>
      </c>
      <c r="F3" s="2" t="s">
        <v>996</v>
      </c>
      <c r="G3" s="2" t="s">
        <v>28</v>
      </c>
      <c r="H3" s="2" t="s">
        <v>57</v>
      </c>
    </row>
    <row r="4" spans="1:8">
      <c r="A4" s="2" t="s">
        <v>997</v>
      </c>
      <c r="B4" s="2" t="s">
        <v>998</v>
      </c>
      <c r="C4" s="2" t="s">
        <v>999</v>
      </c>
      <c r="D4" s="2" t="s">
        <v>1000</v>
      </c>
      <c r="E4" s="2" t="s">
        <v>1001</v>
      </c>
      <c r="F4" s="2" t="s">
        <v>1002</v>
      </c>
      <c r="G4" s="2" t="s">
        <v>28</v>
      </c>
      <c r="H4" s="2" t="s">
        <v>57</v>
      </c>
    </row>
    <row r="5" spans="1:8" ht="28.5">
      <c r="A5" s="2" t="s">
        <v>1003</v>
      </c>
      <c r="B5" s="2" t="s">
        <v>1004</v>
      </c>
      <c r="C5" s="2" t="s">
        <v>1005</v>
      </c>
      <c r="D5" s="2" t="s">
        <v>1006</v>
      </c>
      <c r="E5" s="2" t="s">
        <v>1007</v>
      </c>
      <c r="F5" s="2" t="s">
        <v>1008</v>
      </c>
      <c r="G5" s="2" t="s">
        <v>28</v>
      </c>
      <c r="H5" s="2" t="s">
        <v>57</v>
      </c>
    </row>
    <row r="6" spans="1:8">
      <c r="A6" s="2" t="s">
        <v>1009</v>
      </c>
      <c r="B6" s="2" t="s">
        <v>1010</v>
      </c>
      <c r="C6" s="2" t="s">
        <v>1011</v>
      </c>
      <c r="D6" s="2" t="s">
        <v>1012</v>
      </c>
      <c r="E6" s="2" t="s">
        <v>1013</v>
      </c>
      <c r="F6" s="2" t="s">
        <v>1014</v>
      </c>
      <c r="G6" s="2" t="s">
        <v>28</v>
      </c>
      <c r="H6" s="2" t="s">
        <v>57</v>
      </c>
    </row>
    <row r="7" spans="1:8" ht="28.5">
      <c r="A7" s="2" t="s">
        <v>1015</v>
      </c>
      <c r="B7" s="2" t="s">
        <v>1016</v>
      </c>
      <c r="C7" s="2" t="s">
        <v>1017</v>
      </c>
      <c r="D7" s="2" t="s">
        <v>1018</v>
      </c>
      <c r="E7" s="2" t="s">
        <v>1019</v>
      </c>
      <c r="F7" s="2" t="s">
        <v>1020</v>
      </c>
      <c r="G7" s="2" t="s">
        <v>28</v>
      </c>
      <c r="H7" s="2" t="s">
        <v>29</v>
      </c>
    </row>
    <row r="8" spans="1:8">
      <c r="A8" s="2" t="s">
        <v>1021</v>
      </c>
      <c r="B8" s="2" t="s">
        <v>1016</v>
      </c>
      <c r="C8" s="2" t="s">
        <v>1022</v>
      </c>
      <c r="D8" s="2" t="s">
        <v>1023</v>
      </c>
      <c r="E8" s="2" t="s">
        <v>1024</v>
      </c>
      <c r="F8" s="2" t="s">
        <v>1025</v>
      </c>
      <c r="G8" s="2" t="s">
        <v>28</v>
      </c>
      <c r="H8" s="2" t="s">
        <v>57</v>
      </c>
    </row>
    <row r="9" spans="1:8">
      <c r="A9" s="2" t="s">
        <v>1026</v>
      </c>
      <c r="B9" s="2" t="s">
        <v>1027</v>
      </c>
      <c r="C9" s="2" t="s">
        <v>1028</v>
      </c>
      <c r="D9" s="2" t="s">
        <v>1029</v>
      </c>
      <c r="E9" s="2" t="s">
        <v>1030</v>
      </c>
      <c r="F9" s="2" t="s">
        <v>1031</v>
      </c>
      <c r="G9" s="2" t="s">
        <v>28</v>
      </c>
      <c r="H9" s="2" t="s">
        <v>57</v>
      </c>
    </row>
    <row r="10" spans="1:8">
      <c r="A10" s="2" t="s">
        <v>1032</v>
      </c>
      <c r="B10" s="2" t="s">
        <v>1016</v>
      </c>
      <c r="C10" s="2" t="s">
        <v>1033</v>
      </c>
      <c r="D10" s="2" t="s">
        <v>1034</v>
      </c>
      <c r="E10" s="2" t="s">
        <v>1035</v>
      </c>
      <c r="F10" s="2" t="s">
        <v>1036</v>
      </c>
      <c r="G10" s="2" t="s">
        <v>28</v>
      </c>
      <c r="H10" s="2" t="s">
        <v>29</v>
      </c>
    </row>
    <row r="11" spans="1:8">
      <c r="A11" s="2" t="s">
        <v>1037</v>
      </c>
      <c r="B11" s="2" t="s">
        <v>1027</v>
      </c>
      <c r="C11" s="2" t="s">
        <v>1038</v>
      </c>
      <c r="D11" s="2" t="s">
        <v>1039</v>
      </c>
      <c r="E11" s="2" t="s">
        <v>1040</v>
      </c>
      <c r="F11" s="2" t="s">
        <v>1041</v>
      </c>
      <c r="G11" s="2" t="s">
        <v>28</v>
      </c>
      <c r="H11" s="2" t="s">
        <v>57</v>
      </c>
    </row>
    <row r="12" spans="1:8">
      <c r="A12" s="2" t="s">
        <v>1042</v>
      </c>
      <c r="B12" s="2" t="s">
        <v>1043</v>
      </c>
      <c r="C12" s="2" t="s">
        <v>1044</v>
      </c>
      <c r="D12" s="2" t="s">
        <v>1045</v>
      </c>
      <c r="E12" s="2" t="s">
        <v>1046</v>
      </c>
      <c r="F12" s="2" t="s">
        <v>1047</v>
      </c>
      <c r="G12" s="2" t="s">
        <v>28</v>
      </c>
      <c r="H12" s="2" t="s">
        <v>57</v>
      </c>
    </row>
    <row r="13" spans="1:8">
      <c r="A13" s="2" t="s">
        <v>1048</v>
      </c>
      <c r="B13" s="2" t="s">
        <v>1049</v>
      </c>
      <c r="C13" s="2" t="s">
        <v>502</v>
      </c>
      <c r="D13" s="2" t="s">
        <v>1050</v>
      </c>
      <c r="E13" s="2" t="s">
        <v>1051</v>
      </c>
      <c r="F13" s="2" t="s">
        <v>1052</v>
      </c>
      <c r="G13" s="2" t="s">
        <v>28</v>
      </c>
      <c r="H13" s="2" t="s">
        <v>57</v>
      </c>
    </row>
    <row r="14" spans="1:8">
      <c r="A14" s="2" t="s">
        <v>1053</v>
      </c>
      <c r="B14" s="2" t="s">
        <v>1054</v>
      </c>
      <c r="C14" s="2" t="s">
        <v>1055</v>
      </c>
      <c r="D14" s="2" t="s">
        <v>1056</v>
      </c>
      <c r="E14" s="2" t="s">
        <v>1057</v>
      </c>
      <c r="F14" s="2" t="s">
        <v>1058</v>
      </c>
      <c r="G14" s="2" t="s">
        <v>28</v>
      </c>
      <c r="H14" s="2" t="s">
        <v>57</v>
      </c>
    </row>
    <row r="15" spans="1:8">
      <c r="A15" s="2" t="s">
        <v>1059</v>
      </c>
      <c r="B15" s="2" t="s">
        <v>1060</v>
      </c>
      <c r="C15" s="2" t="s">
        <v>1061</v>
      </c>
      <c r="D15" s="2" t="s">
        <v>1062</v>
      </c>
      <c r="E15" s="2" t="s">
        <v>1063</v>
      </c>
      <c r="F15" s="2" t="s">
        <v>1064</v>
      </c>
      <c r="G15" s="2" t="s">
        <v>69</v>
      </c>
      <c r="H15" s="2" t="s">
        <v>57</v>
      </c>
    </row>
    <row r="16" spans="1:8">
      <c r="A16" s="2" t="s">
        <v>1065</v>
      </c>
      <c r="B16" s="2" t="s">
        <v>1016</v>
      </c>
      <c r="C16" s="2" t="s">
        <v>1066</v>
      </c>
      <c r="D16" s="2" t="s">
        <v>1067</v>
      </c>
      <c r="E16" s="2" t="s">
        <v>1068</v>
      </c>
      <c r="F16" s="2" t="s">
        <v>1069</v>
      </c>
      <c r="G16" s="2" t="s">
        <v>28</v>
      </c>
      <c r="H16" s="2" t="s">
        <v>57</v>
      </c>
    </row>
  </sheetData>
  <phoneticPr fontId="3"/>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試験項目一覧</vt:lpstr>
      <vt:lpstr>集計</vt:lpstr>
      <vt:lpstr>対象定義</vt:lpstr>
      <vt:lpstr>横断シナリオ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勝広 安藤</cp:lastModifiedBy>
  <dcterms:modified xsi:type="dcterms:W3CDTF">2026-09-21T06:23:07Z</dcterms:modified>
</cp:coreProperties>
</file>